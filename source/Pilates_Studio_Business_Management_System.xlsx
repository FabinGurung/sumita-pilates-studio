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bc0221096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_HERE" sheetId="1" r:id="Rbc48b832b780424c"/>
    <x:sheet xmlns:r="http://schemas.openxmlformats.org/officeDocument/2006/relationships" name="01_DAILY_DESK" sheetId="2" r:id="Rf2baf828bd23424f"/>
    <x:sheet xmlns:r="http://schemas.openxmlformats.org/officeDocument/2006/relationships" name="02_MEMBERS" sheetId="3" r:id="R770c836f0ccb4d03"/>
    <x:sheet xmlns:r="http://schemas.openxmlformats.org/officeDocument/2006/relationships" name="03_CLASS_SCHEDULE" sheetId="4" r:id="Re626cd4e61ac4b1c"/>
    <x:sheet xmlns:r="http://schemas.openxmlformats.org/officeDocument/2006/relationships" name="04_ATTENDANCE" sheetId="5" r:id="R75175694d7714ab6"/>
    <x:sheet xmlns:r="http://schemas.openxmlformats.org/officeDocument/2006/relationships" name="05_SALES_PAYMENTS" sheetId="6" r:id="R178c1feb414a4fd4"/>
    <x:sheet xmlns:r="http://schemas.openxmlformats.org/officeDocument/2006/relationships" name="06_EXPENSES" sheetId="7" r:id="R3fbb01ce87e14482"/>
    <x:sheet xmlns:r="http://schemas.openxmlformats.org/officeDocument/2006/relationships" name="07_LEADS_TRIALS" sheetId="8" r:id="R30e4dd51f71f456d"/>
    <x:sheet xmlns:r="http://schemas.openxmlformats.org/officeDocument/2006/relationships" name="08_CLIENT_PROGRESS" sheetId="9" r:id="R0447f0ccc75c42a6"/>
    <x:sheet xmlns:r="http://schemas.openxmlformats.org/officeDocument/2006/relationships" name="09_STAFF" sheetId="10" r:id="Ra70faeb8026f40eb"/>
    <x:sheet xmlns:r="http://schemas.openxmlformats.org/officeDocument/2006/relationships" name="10_ASSETS_MAINT" sheetId="11" r:id="R20863aa4d8574d36"/>
    <x:sheet xmlns:r="http://schemas.openxmlformats.org/officeDocument/2006/relationships" name="11_INVENTORY" sheetId="12" r:id="R09c536f6af1245f6"/>
    <x:sheet xmlns:r="http://schemas.openxmlformats.org/officeDocument/2006/relationships" name="12_CUSTOMER_DASHBOARD" sheetId="13" r:id="R94151a7d65d14a70"/>
    <x:sheet xmlns:r="http://schemas.openxmlformats.org/officeDocument/2006/relationships" name="13_OWNER_DASHBOARD" sheetId="14" r:id="Rf557fbae1b554b10"/>
    <x:sheet xmlns:r="http://schemas.openxmlformats.org/officeDocument/2006/relationships" name="14_SHAREHOLDER_ANALYTICS" sheetId="15" r:id="Rbabe26586aad4b37"/>
    <x:sheet xmlns:r="http://schemas.openxmlformats.org/officeDocument/2006/relationships" name="15_MONTHLY_CLOSE" sheetId="16" r:id="Rbe6c9cdf530244e2"/>
    <x:sheet xmlns:r="http://schemas.openxmlformats.org/officeDocument/2006/relationships" name="99_SETTINGS" sheetId="17" r:id="R481dcc3c0e984468"/>
    <x:sheet xmlns:r="http://schemas.openxmlformats.org/officeDocument/2006/relationships" name="_BACKEND_MONTHLY" sheetId="18" r:id="R6d6e725c7e974982"/>
    <x:sheet xmlns:r="http://schemas.openxmlformats.org/officeDocument/2006/relationships" name="_BACKEND_CUSTOMER" sheetId="19" r:id="R7163b38cbb7f4424"/>
    <x:sheet xmlns:r="http://schemas.openxmlformats.org/officeDocument/2006/relationships" name="_BACKEND_ANALYTICS" sheetId="20" r:id="Rfc2c5de3ff70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&quot;NPR&quot; #,##0;[Red](&quot;NPR&quot; #,##0);-"/>
    <x:numFmt numFmtId="202" formatCode="#,##0;[Red](#,##0);-"/>
    <x:numFmt numFmtId="203" formatCode="hh:mm"/>
    <x:numFmt numFmtId="204" formatCode="0.0%"/>
    <x:numFmt numFmtId="205" formatCode="mmm-yy"/>
    <x:numFmt numFmtId="206" formatCode="0.0"/>
    <x:numFmt numFmtId="207" formatCode="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54F3B"/>
      <x:name val="Carlito"/>
    </x:font>
    <x:font>
      <x:b/>
      <x:sz val="10"/>
      <x:color rgb="FFFFFFFF"/>
      <x:name val="Carlito"/>
    </x:font>
    <x:font>
      <x:b/>
      <x:sz val="10"/>
      <x:color rgb="FF173D2D"/>
      <x:name val="Carlito"/>
    </x:font>
    <x:font>
      <x:sz val="10"/>
      <x:color rgb="FF0000FF"/>
      <x:name val="Carlito"/>
    </x:font>
    <x:font>
      <x:sz val="10"/>
      <x:color rgb="FF254F3B"/>
      <x:name val="Carlito"/>
    </x:font>
    <x:font>
      <x:sz val="10"/>
      <x:color rgb="FF000000"/>
      <x:name val="Carlito"/>
    </x:font>
    <x:font>
      <x:sz val="10"/>
      <x:color rgb="FF008000"/>
      <x:name val="Carlito"/>
    </x:font>
    <x:font>
      <x:b/>
      <x:sz val="16"/>
      <x:color rgb="FF173D2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D2D"/>
      </x:patternFill>
    </x:fill>
    <x:fill>
      <x:patternFill patternType="solid">
        <x:fgColor rgb="FFEDF4EF"/>
      </x:patternFill>
    </x:fill>
    <x:fill>
      <x:patternFill patternType="solid">
        <x:fgColor rgb="FF4F7A5A"/>
      </x:patternFill>
    </x:fill>
    <x:fill>
      <x:patternFill patternType="solid">
        <x:fgColor rgb="FFDCE9DF"/>
      </x:patternFill>
    </x:fill>
    <x:fill>
      <x:patternFill patternType="solid">
        <x:fgColor rgb="FFF3E8C7"/>
      </x:patternFill>
    </x:fill>
    <x:fill>
      <x:patternFill patternType="solid">
        <x:fgColor rgb="FFF8F5EE"/>
      </x:patternFill>
    </x:fill>
    <x:fill>
      <x:patternFill patternType="solid">
        <x:fgColor rgb="FFF4F4F4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0" fontId="5" fillId="6" borderId="1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vertical="center" wrapText="1"/>
    </x:xf>
    <x:xf numFmtId="201" fontId="5" fillId="6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202" fontId="5" fillId="6" borderId="0" xfId="0" applyNumberFormat="1" applyFont="1" applyFill="1" applyBorder="1" applyAlignment="1">
      <x:alignment vertical="center" wrapText="1"/>
    </x:xf>
    <x:xf numFmtId="202" fontId="8" fillId="3" borderId="0" xfId="0" applyNumberFormat="1" applyFont="1" applyFill="1" applyBorder="1" applyAlignment="1">
      <x:alignment vertical="center" wrapText="1"/>
    </x:xf>
    <x:xf numFmtId="202" fontId="7" fillId="8" borderId="0" xfId="0" applyNumberFormat="1" applyFont="1" applyFill="1" applyBorder="1" applyAlignment="1">
      <x:alignment vertical="center" wrapText="1"/>
    </x:xf>
    <x:xf numFmtId="202" fontId="5" fillId="6" borderId="1" xfId="0" applyNumberFormat="1" applyFont="1" applyFill="1" applyBorder="1" applyAlignment="1">
      <x:alignment vertical="center" wrapText="1"/>
    </x:xf>
    <x:xf numFmtId="202" fontId="8" fillId="3" borderId="1" xfId="0" applyNumberFormat="1" applyFont="1" applyFill="1" applyBorder="1" applyAlignment="1">
      <x:alignment vertical="center" wrapText="1"/>
    </x:xf>
    <x:xf numFmtId="202" fontId="7" fillId="8" borderId="1" xfId="0" applyNumberFormat="1" applyFont="1" applyFill="1" applyBorder="1" applyAlignment="1">
      <x:alignment vertical="center" wrapText="1"/>
    </x:xf>
    <x:xf numFmtId="203" fontId="5" fillId="6" borderId="0" xfId="0" applyNumberFormat="1" applyFont="1" applyFill="1" applyBorder="1" applyAlignment="1">
      <x:alignment vertical="center" wrapText="1"/>
    </x:xf>
    <x:xf numFmtId="203" fontId="5" fillId="6" borderId="1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0" fontId="8" fillId="3" borderId="1" xfId="0" applyNumberFormat="1" applyFont="1" applyFill="1" applyBorder="1" applyAlignment="1">
      <x:alignment vertical="center" wrapText="1"/>
    </x:xf>
    <x:xf numFmtId="201" fontId="7" fillId="8" borderId="0" xfId="0" applyNumberFormat="1" applyFont="1" applyFill="1" applyBorder="1" applyAlignment="1">
      <x:alignment vertical="center" wrapText="1"/>
    </x:xf>
    <x:xf numFmtId="201" fontId="7" fillId="8" borderId="1" xfId="0" applyNumberFormat="1" applyFont="1" applyFill="1" applyBorder="1" applyAlignment="1">
      <x:alignment vertical="center" wrapText="1"/>
    </x:xf>
    <x:xf numFmtId="204" fontId="5" fillId="6" borderId="0" xfId="0" applyNumberFormat="1" applyFont="1" applyFill="1" applyBorder="1" applyAlignment="1">
      <x:alignment vertical="center" wrapText="1"/>
    </x:xf>
    <x:xf numFmtId="204" fontId="5" fillId="6" borderId="1" xfId="0" applyNumberFormat="1" applyFont="1" applyFill="1" applyBorder="1" applyAlignment="1">
      <x:alignment vertical="center" wrapText="1"/>
    </x:xf>
    <x:xf numFmtId="200" fontId="7" fillId="8" borderId="0" xfId="0" applyNumberFormat="1" applyFont="1" applyFill="1" applyBorder="1" applyAlignment="1">
      <x:alignment vertical="center" wrapText="1"/>
    </x:xf>
    <x:xf numFmtId="200" fontId="7" fillId="8" borderId="1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horizontal="center"/>
    </x:xf>
    <x:xf numFmtId="0" fontId="9" fillId="9" borderId="1" xfId="0" applyNumberFormat="1" applyFont="1" applyFill="1" applyBorder="1" applyAlignment="1">
      <x:alignment horizontal="center" vertical="center"/>
    </x:xf>
    <x:xf numFmtId="201" fontId="9" fillId="9" borderId="0" xfId="0" applyNumberFormat="1" applyFont="1" applyFill="1" applyBorder="1" applyAlignment="1">
      <x:alignment horizontal="center" vertical="center"/>
    </x:xf>
    <x:xf numFmtId="201" fontId="9" fillId="9" borderId="1" xfId="0" applyNumberFormat="1" applyFont="1" applyFill="1" applyBorder="1" applyAlignment="1">
      <x:alignment horizontal="center" vertical="center"/>
    </x:xf>
    <x:xf numFmtId="202" fontId="9" fillId="9" borderId="0" xfId="0" applyNumberFormat="1" applyFont="1" applyFill="1" applyBorder="1" applyAlignment="1">
      <x:alignment horizontal="center" vertical="center"/>
    </x:xf>
    <x:xf numFmtId="202" fontId="9" fillId="9" borderId="1" xfId="0" applyNumberFormat="1" applyFont="1" applyFill="1" applyBorder="1" applyAlignment="1">
      <x:alignment horizontal="center" vertical="center"/>
    </x:xf>
    <x:xf numFmtId="204" fontId="9" fillId="9" borderId="0" xfId="0" applyNumberFormat="1" applyFont="1" applyFill="1" applyBorder="1" applyAlignment="1">
      <x:alignment horizontal="center" vertical="center"/>
    </x:xf>
    <x:xf numFmtId="204" fontId="9" fillId="9" borderId="1" xfId="0" applyNumberFormat="1" applyFont="1" applyFill="1" applyBorder="1" applyAlignment="1">
      <x:alignment horizontal="center" vertical="center"/>
    </x:xf>
    <x:xf numFmtId="206" fontId="9" fillId="9" borderId="0" xfId="0" applyNumberFormat="1" applyFont="1" applyFill="1" applyBorder="1" applyAlignment="1">
      <x:alignment horizontal="center" vertical="center"/>
    </x:xf>
    <x:xf numFmtId="206" fontId="9" fillId="9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7" fontId="9" fillId="9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ill>
        <x:patternFill>
          <x:bgColor rgb="FFF6E4C8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676d1a62e4cd2" /><Relationship Type="http://schemas.openxmlformats.org/officeDocument/2006/relationships/theme" Target="/xl/theme/theme1.xml" Id="Rc9e9181a9e314c60" /><Relationship Type="http://schemas.openxmlformats.org/officeDocument/2006/relationships/sharedStrings" Target="/xl/sharedStrings.xml" Id="R0d0723eac0a84684" /><Relationship Type="http://schemas.openxmlformats.org/officeDocument/2006/relationships/worksheet" Target="/xl/worksheets/sheet1.xml" Id="Rbc48b832b780424c" /><Relationship Type="http://schemas.openxmlformats.org/officeDocument/2006/relationships/worksheet" Target="/xl/worksheets/sheet2.xml" Id="Rf2baf828bd23424f" /><Relationship Type="http://schemas.openxmlformats.org/officeDocument/2006/relationships/worksheet" Target="/xl/worksheets/sheet3.xml" Id="R770c836f0ccb4d03" /><Relationship Type="http://schemas.openxmlformats.org/officeDocument/2006/relationships/worksheet" Target="/xl/worksheets/sheet4.xml" Id="Re626cd4e61ac4b1c" /><Relationship Type="http://schemas.openxmlformats.org/officeDocument/2006/relationships/worksheet" Target="/xl/worksheets/sheet5.xml" Id="R75175694d7714ab6" /><Relationship Type="http://schemas.openxmlformats.org/officeDocument/2006/relationships/worksheet" Target="/xl/worksheets/sheet6.xml" Id="R178c1feb414a4fd4" /><Relationship Type="http://schemas.openxmlformats.org/officeDocument/2006/relationships/worksheet" Target="/xl/worksheets/sheet7.xml" Id="R3fbb01ce87e14482" /><Relationship Type="http://schemas.openxmlformats.org/officeDocument/2006/relationships/worksheet" Target="/xl/worksheets/sheet8.xml" Id="R30e4dd51f71f456d" /><Relationship Type="http://schemas.openxmlformats.org/officeDocument/2006/relationships/worksheet" Target="/xl/worksheets/sheet9.xml" Id="R0447f0ccc75c42a6" /><Relationship Type="http://schemas.openxmlformats.org/officeDocument/2006/relationships/worksheet" Target="/xl/worksheets/sheet10.xml" Id="Ra70faeb8026f40eb" /><Relationship Type="http://schemas.openxmlformats.org/officeDocument/2006/relationships/worksheet" Target="/xl/worksheets/sheet11.xml" Id="R20863aa4d8574d36" /><Relationship Type="http://schemas.openxmlformats.org/officeDocument/2006/relationships/worksheet" Target="/xl/worksheets/sheet12.xml" Id="R09c536f6af1245f6" /><Relationship Type="http://schemas.openxmlformats.org/officeDocument/2006/relationships/worksheet" Target="/xl/worksheets/sheet13.xml" Id="R94151a7d65d14a70" /><Relationship Type="http://schemas.openxmlformats.org/officeDocument/2006/relationships/worksheet" Target="/xl/worksheets/sheet14.xml" Id="Rf557fbae1b554b10" /><Relationship Type="http://schemas.openxmlformats.org/officeDocument/2006/relationships/worksheet" Target="/xl/worksheets/sheet15.xml" Id="Rbabe26586aad4b37" /><Relationship Type="http://schemas.openxmlformats.org/officeDocument/2006/relationships/worksheet" Target="/xl/worksheets/sheet16.xml" Id="Rbe6c9cdf530244e2" /><Relationship Type="http://schemas.openxmlformats.org/officeDocument/2006/relationships/worksheet" Target="/xl/worksheets/sheet17.xml" Id="R481dcc3c0e984468" /><Relationship Type="http://schemas.openxmlformats.org/officeDocument/2006/relationships/worksheet" Target="/xl/worksheets/sheet18.xml" Id="R6d6e725c7e974982" /><Relationship Type="http://schemas.openxmlformats.org/officeDocument/2006/relationships/worksheet" Target="/xl/worksheets/sheet19.xml" Id="R7163b38cbb7f4424" /><Relationship Type="http://schemas.openxmlformats.org/officeDocument/2006/relationships/worksheet" Target="/xl/worksheets/sheet20.xml" Id="Rfc2c5de3ff7047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5e1378523e4efd" /><Relationship Type="http://schemas.openxmlformats.org/officeDocument/2006/relationships/chart" Target="/xl/drawings/charts/chart2.xml" Id="R78c9f359dabf49f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507c0233e2846eb" /><Relationship Type="http://schemas.openxmlformats.org/officeDocument/2006/relationships/chart" Target="/xl/drawings/charts/chart4.xml" Id="R976bfac62053493b" /><Relationship Type="http://schemas.openxmlformats.org/officeDocument/2006/relationships/chart" Target="/xl/drawings/charts/chart5.xml" Id="R3a72f733b83d4fa4" /><Relationship Type="http://schemas.openxmlformats.org/officeDocument/2006/relationships/chart" Target="/xl/drawings/charts/chart6.xml" Id="R465a29535d01488e" /><Relationship Type="http://schemas.openxmlformats.org/officeDocument/2006/relationships/chart" Target="/xl/drawings/charts/chart7.xml" Id="Rbad3118f39444d79" /><Relationship Type="http://schemas.openxmlformats.org/officeDocument/2006/relationships/chart" Target="/xl/drawings/charts/chart8.xml" Id="Rfd986e92a69b4dc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48abd0643efb4ce6" /><Relationship Type="http://schemas.openxmlformats.org/officeDocument/2006/relationships/chart" Target="/xl/drawings/charts/chart10.xml" Id="R3860afd3bf6848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Movement Quality Progress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Mobility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'_BACKEND_CUSTOMER'!$C$5:$C$16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Core Strength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'_BACKEND_CUSTOMER'!$D$5:$D$16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Balance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'_BACKEND_CUSTOMER'!$E$5:$E$16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Posture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'_BACKEND_CUSTOMER'!$F$5:$F$16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Energy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'_BACKEND_CUSTOMER'!$G$5:$G$16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Goal Progress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Mobility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'_BACKEND_CUSTOMER'!$C$5:$C$16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Core Strength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'_BACKEND_CUSTOMER'!$D$5:$D$16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Balance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'_BACKEND_CUSTOMER'!$E$5:$E$16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Posture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'_BACKEND_CUSTOMER'!$F$5:$F$16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Energy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'_BACKEND_CUSTOMER'!$G$5:$G$16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Goal Progress %</c:v>
          </c:tx>
          <c:cat>
            <c:strRef>
              <c:f>'_BACKEND_CUSTOMER'!$B$5:$B$16</c:f>
              <c:strCache>
                <c:ptCount val="0"/>
              </c:strCache>
            </c:strRef>
          </c:cat>
          <c:val>
            <c:numRef>
              <c:f>'_BACKEND_CUSTOMER'!$H$5:$H$16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Revenue, Expenses and Profit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 Invoiced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'_BACKEND_MONTHLY'!$B$5:$B$16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Cash Collected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'_BACKEND_MONTHLY'!$C$5:$C$16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Expenses Incurred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'_BACKEND_MONTHLY'!$D$5:$D$16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Cash Paid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'_BACKEND_MONTHLY'!$E$5:$E$16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Operating Profit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'_BACKEND_MONTHLY'!$F$5:$F$16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Invoiced Revenue vs Cash Collected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 Invoiced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'_BACKEND_MONTHLY'!$B$5:$B$16</c:f>
              <c:numCache>
                <c:formatCode>"NPR" #,##0;[Red]("NPR" #,##0);-</c:formatCode>
                <c:ptCount val="0"/>
              </c:numCache>
            </c:numRef>
          </c:val>
        </c:ser>
        <c:ser>
          <c:idx val="1"/>
          <c:order val="1"/>
          <c:tx>
            <c:v>Cash Collected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'_BACKEND_MONTHLY'!$C$5:$C$16</c:f>
              <c:numCache>
                <c:formatCode>"NPR" #,##0;[Red]("NPR" 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Operating Volume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 Invoiced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'_BACKEND_MONTHLY'!$B$5:$B$16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Cash Collected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'_BACKEND_MONTHLY'!$C$5:$C$16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Expenses Incurred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'_BACKEND_MONTHLY'!$D$5:$D$16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Cash Paid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'_BACKEND_MONTHLY'!$E$5:$E$16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Operating Profit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'_BACKEND_MONTHLY'!$F$5:$F$16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5"/>
          <c:order val="5"/>
          <c:tx>
            <c:v>Cash Surplus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'_BACKEND_MONTHLY'!$G$5:$G$16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6"/>
          <c:order val="6"/>
          <c:tx>
            <c:v>Profit Margin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'_BACKEND_MONTHLY'!$H$5:$H$16</c:f>
              <c:numCache>
                <c:formatCode>0.0%</c:formatCode>
                <c:ptCount val="0"/>
              </c:numCache>
            </c:numRef>
          </c:val>
          <c:smooth val="0"/>
        </c:ser>
        <c:ser>
          <c:idx val="7"/>
          <c:order val="7"/>
          <c:tx>
            <c:v>Active Members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'_BACKEND_MONTHLY'!$I$5:$I$16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8"/>
          <c:order val="8"/>
          <c:tx>
            <c:v>New Members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'_BACKEND_MONTHLY'!$J$5:$J$16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9"/>
          <c:order val="9"/>
          <c:tx>
            <c:v>Classes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'_BACKEND_MONTHLY'!$K$5:$K$16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0"/>
          <c:order val="10"/>
          <c:tx>
            <c:v>Attendance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'_BACKEND_MONTHLY'!$L$5:$L$16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1"/>
          <c:order val="11"/>
          <c:tx>
            <c:v>Leads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'_BACKEND_MONTHLY'!$M$5:$M$16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2"/>
          <c:order val="12"/>
          <c:tx>
            <c:v>Conversions</c:v>
          </c:tx>
          <c:cat>
            <c:strRef>
              <c:f>'_BACKEND_MONTHLY'!$A$5:$A$16</c:f>
              <c:strCache>
                <c:ptCount val="0"/>
              </c:strCache>
            </c:strRef>
          </c:cat>
          <c:val>
            <c:numRef>
              <c:f>'_BACKEND_MONTHLY'!$N$5:$N$16</c:f>
              <c:numCache>
                <c:formatCode>#,##0;[Red](#,##0);-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Expense Mix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Total</c:v>
          </c:tx>
          <c:cat>
            <c:strRef>
              <c:f>'13_OWNER_DASHBOARD'!$H$36:$H$46</c:f>
              <c:strCache>
                <c:ptCount val="0"/>
              </c:strCache>
            </c:strRef>
          </c:cat>
          <c:val>
            <c:numRef>
              <c:f>'13_OWNER_DASHBOARD'!$I$36:$I$46</c:f>
              <c:numCache>
                <c:formatCode>"NPR" #,##0;[Red]("NPR" 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Revenue, Expense and Profit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'14_SHAREHOLDER_ANALYTICS'!$B$5:$B$16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'14_SHAREHOLDER_ANALYTICS'!$C$5:$C$16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Profit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'14_SHAREHOLDER_ANALYTICS'!$D$5:$D$16</c:f>
              <c:numCache>
                <c:formatCode>"NPR" #,##0;[Red]("NPR" 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Growth and Conversion Trend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'14_SHAREHOLDER_ANALYTICS'!$B$5:$B$16</c:f>
              <c:numCache>
                <c:formatCode>"NPR" #,##0;[Red]("NPR" 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'14_SHAREHOLDER_ANALYTICS'!$C$5:$C$16</c:f>
              <c:numCache>
                <c:formatCode>"NPR" #,##0;[Red]("NPR" #,##0);-</c:formatCode>
                <c:ptCount val="0"/>
              </c:numCache>
            </c:numRef>
          </c:val>
        </c:ser>
        <c:ser>
          <c:idx val="2"/>
          <c:order val="2"/>
          <c:tx>
            <c:v>Profit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'14_SHAREHOLDER_ANALYTICS'!$D$5:$D$16</c:f>
              <c:numCache>
                <c:formatCode>"NPR" #,##0;[Red]("NPR" #,##0);-</c:formatCode>
                <c:ptCount val="0"/>
              </c:numCache>
            </c:numRef>
          </c:val>
        </c:ser>
        <c:ser>
          <c:idx val="3"/>
          <c:order val="3"/>
          <c:tx>
            <c:v>Margin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'14_SHAREHOLDER_ANALYTICS'!$E$5:$E$16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Cash Collected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'14_SHAREHOLDER_ANALYTICS'!$F$5:$F$16</c:f>
              <c:numCache>
                <c:formatCode>"NPR" #,##0;[Red]("NPR" #,##0);-</c:formatCode>
                <c:ptCount val="0"/>
              </c:numCache>
            </c:numRef>
          </c:val>
        </c:ser>
        <c:ser>
          <c:idx val="5"/>
          <c:order val="5"/>
          <c:tx>
            <c:v>Cash Paid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'14_SHAREHOLDER_ANALYTICS'!$G$5:$G$16</c:f>
              <c:numCache>
                <c:formatCode>"NPR" #,##0;[Red]("NPR" #,##0);-</c:formatCode>
                <c:ptCount val="0"/>
              </c:numCache>
            </c:numRef>
          </c:val>
        </c:ser>
        <c:ser>
          <c:idx val="6"/>
          <c:order val="6"/>
          <c:tx>
            <c:v>Cash Surplus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'14_SHAREHOLDER_ANALYTICS'!$H$5:$H$16</c:f>
              <c:numCache>
                <c:formatCode>"NPR" #,##0;[Red]("NPR" #,##0);-</c:formatCode>
                <c:ptCount val="0"/>
              </c:numCache>
            </c:numRef>
          </c:val>
        </c:ser>
        <c:ser>
          <c:idx val="7"/>
          <c:order val="7"/>
          <c:tx>
            <c:v>New Members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'14_SHAREHOLDER_ANALYTICS'!$I$5:$I$16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v>Classes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'14_SHAREHOLDER_ANALYTICS'!$J$5:$J$16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v>Attendance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'14_SHAREHOLDER_ANALYTICS'!$K$5:$K$16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v>Leads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'14_SHAREHOLDER_ANALYTICS'!$L$5:$L$16</c:f>
              <c:numCache>
                <c:formatCode>General</c:formatCode>
                <c:ptCount val="0"/>
              </c:numCache>
            </c:numRef>
          </c:val>
        </c:ser>
        <c:ser>
          <c:idx val="11"/>
          <c:order val="11"/>
          <c:tx>
            <c:v>Conversions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'14_SHAREHOLDER_ANALYTICS'!$M$5:$M$16</c:f>
              <c:numCache>
                <c:formatCode>General</c:formatCode>
                <c:ptCount val="0"/>
              </c:numCache>
            </c:numRef>
          </c:val>
        </c:ser>
        <c:ser>
          <c:idx val="12"/>
          <c:order val="12"/>
          <c:tx>
            <c:v>Conversion Rate</c:v>
          </c:tx>
          <c:cat>
            <c:strRef>
              <c:f>'14_SHAREHOLDER_ANALYTICS'!$A$5:$A$16</c:f>
              <c:strCache>
                <c:ptCount val="0"/>
              </c:strCache>
            </c:strRef>
          </c:cat>
          <c:val>
            <c:numRef>
              <c:f>'14_SHAREHOLDER_ANALYTICS'!$N$5:$N$16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5e1378523e4efd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c9f359dabf49f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07c0233e2846eb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6bfac62053493b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72f733b83d4fa4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5a29535d01488e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d3118f39444d79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986e92a69b4dc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abd0643efb4ce6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60afd3bf6848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MembersTable" displayName="MembersTable" ref="A5:V105" headerRowCount="1">
  <x:tableColumns count="22">
    <x:tableColumn id="1" name="Record Type"/>
    <x:tableColumn id="2" name="Member ID"/>
    <x:tableColumn id="3" name="Full Name"/>
    <x:tableColumn id="4" name="Phone"/>
    <x:tableColumn id="5" name="Email"/>
    <x:tableColumn id="6" name="Join Date"/>
    <x:tableColumn id="7" name="Branch"/>
    <x:tableColumn id="8" name="Membership Plan"/>
    <x:tableColumn id="9" name="Status"/>
    <x:tableColumn id="10" name="Membership Start"/>
    <x:tableColumn id="11" name="Membership End"/>
    <x:tableColumn id="12" name="Sessions Purchased"/>
    <x:tableColumn id="13" name="Sessions Used"/>
    <x:tableColumn id="14" name="Sessions Remaining"/>
    <x:tableColumn id="15" name="Outstanding Balance"/>
    <x:tableColumn id="16" name="Assigned Instructor"/>
    <x:tableColumn id="17" name="Primary Goal"/>
    <x:tableColumn id="18" name="Health / Safety Notes (Confidential)"/>
    <x:tableColumn id="19" name="Emergency Contact"/>
    <x:tableColumn id="20" name="Consent Status"/>
    <x:tableColumn id="21" name="Referral Source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3" name="ClassScheduleTable" displayName="ClassScheduleTable" ref="A5:N105" headerRowCount="1">
  <x:tableColumns count="14">
    <x:tableColumn id="1" name="Record Type"/>
    <x:tableColumn id="2" name="Class ID"/>
    <x:tableColumn id="3" name="Class Date"/>
    <x:tableColumn id="4" name="Start Time"/>
    <x:tableColumn id="5" name="End Time"/>
    <x:tableColumn id="6" name="Branch"/>
    <x:tableColumn id="7" name="Room / Studio"/>
    <x:tableColumn id="8" name="Class Type"/>
    <x:tableColumn id="9" name="Level"/>
    <x:tableColumn id="10" name="Instructor ID"/>
    <x:tableColumn id="11" name="Instructor Name"/>
    <x:tableColumn id="12" name="Capacity"/>
    <x:tableColumn id="13" name="Status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4" name="AttendanceTable" displayName="AttendanceTable" ref="A5:O105" headerRowCount="1">
  <x:tableColumns count="15">
    <x:tableColumn id="1" name="Record Type"/>
    <x:tableColumn id="2" name="Attendance ID"/>
    <x:tableColumn id="3" name="Class ID"/>
    <x:tableColumn id="4" name="Class Date"/>
    <x:tableColumn id="5" name="Member ID"/>
    <x:tableColumn id="6" name="Member Name"/>
    <x:tableColumn id="7" name="Branch"/>
    <x:tableColumn id="8" name="Class Type"/>
    <x:tableColumn id="9" name="Instructor"/>
    <x:tableColumn id="10" name="Booking Status"/>
    <x:tableColumn id="11" name="Attendance Status"/>
    <x:tableColumn id="12" name="Check-in Time"/>
    <x:tableColumn id="13" name="Session Count"/>
    <x:tableColumn id="14" name="Client Rating (1-5)"/>
    <x:tableColumn id="15" name="Notes"/>
  </x:tableColumns>
  <x:tableStyleInfo name="TableStyleMedium2" showRowStripes="1"/>
</x:table>
</file>

<file path=xl/tables/table4.xml><?xml version="1.0" encoding="utf-8"?>
<x:table xmlns:x="http://schemas.openxmlformats.org/spreadsheetml/2006/main" id="5" name="SalesTable" displayName="SalesTable" ref="A5:U105" headerRowCount="1">
  <x:tableColumns count="21">
    <x:tableColumn id="1" name="Record Type"/>
    <x:tableColumn id="2" name="Transaction ID"/>
    <x:tableColumn id="3" name="Invoice Date"/>
    <x:tableColumn id="4" name="Member ID"/>
    <x:tableColumn id="5" name="Member Name"/>
    <x:tableColumn id="6" name="Branch"/>
    <x:tableColumn id="7" name="Revenue Category"/>
    <x:tableColumn id="8" name="Membership Plan"/>
    <x:tableColumn id="9" name="Invoice Amount"/>
    <x:tableColumn id="10" name="Discount"/>
    <x:tableColumn id="11" name="Tax"/>
    <x:tableColumn id="12" name="Net Invoice"/>
    <x:tableColumn id="13" name="Amount Received"/>
    <x:tableColumn id="14" name="Balance Due"/>
    <x:tableColumn id="15" name="Payment Method"/>
    <x:tableColumn id="16" name="Due Date"/>
    <x:tableColumn id="17" name="Payment Status"/>
    <x:tableColumn id="18" name="Service Start"/>
    <x:tableColumn id="19" name="Service End"/>
    <x:tableColumn id="20" name="Receipt No."/>
    <x:tableColumn id="21" name="Notes"/>
  </x:tableColumns>
  <x:tableStyleInfo name="TableStyleMedium2" showRowStripes="1"/>
</x:table>
</file>

<file path=xl/tables/table5.xml><?xml version="1.0" encoding="utf-8"?>
<x:table xmlns:x="http://schemas.openxmlformats.org/spreadsheetml/2006/main" id="6" name="ExpensesTable" displayName="ExpensesTable" ref="A5:S105" headerRowCount="1">
  <x:tableColumns count="19">
    <x:tableColumn id="1" name="Record Type"/>
    <x:tableColumn id="2" name="Expense ID"/>
    <x:tableColumn id="3" name="Expense Date"/>
    <x:tableColumn id="4" name="Branch"/>
    <x:tableColumn id="5" name="Expense Category"/>
    <x:tableColumn id="6" name="Vendor"/>
    <x:tableColumn id="7" name="Description"/>
    <x:tableColumn id="8" name="Amount Before Tax"/>
    <x:tableColumn id="9" name="Tax"/>
    <x:tableColumn id="10" name="Total Expense"/>
    <x:tableColumn id="11" name="Amount Paid"/>
    <x:tableColumn id="12" name="Balance Due"/>
    <x:tableColumn id="13" name="Payment Method"/>
    <x:tableColumn id="14" name="Due Date"/>
    <x:tableColumn id="15" name="Payment Status"/>
    <x:tableColumn id="16" name="Fixed / Variable"/>
    <x:tableColumn id="17" name="Recurring?"/>
    <x:tableColumn id="18" name="Paid Date"/>
    <x:tableColumn id="19" name="Notes"/>
  </x:tableColumns>
  <x:tableStyleInfo name="TableStyleMedium2" showRowStripes="1"/>
</x:table>
</file>

<file path=xl/tables/table6.xml><?xml version="1.0" encoding="utf-8"?>
<x:table xmlns:x="http://schemas.openxmlformats.org/spreadsheetml/2006/main" id="7" name="LeadsTable" displayName="LeadsTable" ref="A5:P105" headerRowCount="1">
  <x:tableColumns count="16">
    <x:tableColumn id="1" name="Record Type"/>
    <x:tableColumn id="2" name="Lead ID"/>
    <x:tableColumn id="3" name="Enquiry Date"/>
    <x:tableColumn id="4" name="Lead Name"/>
    <x:tableColumn id="5" name="Phone"/>
    <x:tableColumn id="6" name="Source"/>
    <x:tableColumn id="7" name="Branch"/>
    <x:tableColumn id="8" name="Interested Service"/>
    <x:tableColumn id="9" name="Assigned To"/>
    <x:tableColumn id="10" name="Status"/>
    <x:tableColumn id="11" name="Trial Date"/>
    <x:tableColumn id="12" name="Converted Member ID"/>
    <x:tableColumn id="13" name="Expected Value"/>
    <x:tableColumn id="14" name="Lost Reason"/>
    <x:tableColumn id="15" name="Follow-up Date"/>
    <x:tableColumn id="16" name="Notes"/>
  </x:tableColumns>
  <x:tableStyleInfo name="TableStyleMedium2" showRowStripes="1"/>
</x:table>
</file>

<file path=xl/tables/table7.xml><?xml version="1.0" encoding="utf-8"?>
<x:table xmlns:x="http://schemas.openxmlformats.org/spreadsheetml/2006/main" id="8" name="ProgressTable" displayName="ProgressTable" ref="A5:Q105" headerRowCount="1">
  <x:tableColumns count="17">
    <x:tableColumn id="1" name="Record Type"/>
    <x:tableColumn id="2" name="Assessment ID"/>
    <x:tableColumn id="3" name="Member ID"/>
    <x:tableColumn id="4" name="Member Name"/>
    <x:tableColumn id="5" name="Assessment Date"/>
    <x:tableColumn id="6" name="Mobility (1-10)"/>
    <x:tableColumn id="7" name="Core Strength (1-10)"/>
    <x:tableColumn id="8" name="Balance (1-10)"/>
    <x:tableColumn id="9" name="Posture (1-10)"/>
    <x:tableColumn id="10" name="Energy (1-10)"/>
    <x:tableColumn id="11" name="Goal Progress %"/>
    <x:tableColumn id="12" name="Weight kg (Optional)"/>
    <x:tableColumn id="13" name="Waist cm (Optional)"/>
    <x:tableColumn id="14" name="Instructor"/>
    <x:tableColumn id="15" name="Client-visible Summary"/>
    <x:tableColumn id="16" name="Internal Notes (Confidential)"/>
    <x:tableColumn id="17" name="Member Sequence Key"/>
  </x:tableColumns>
  <x:tableStyleInfo name="TableStyleMedium2" showRowStripes="1"/>
</x:table>
</file>

<file path=xl/tables/table8.xml><?xml version="1.0" encoding="utf-8"?>
<x:table xmlns:x="http://schemas.openxmlformats.org/spreadsheetml/2006/main" id="1" name="StaffTable" displayName="StaffTable" ref="A5:O105" headerRowCount="1">
  <x:tableColumns count="15">
    <x:tableColumn id="1" name="Record Type"/>
    <x:tableColumn id="2" name="Staff ID"/>
    <x:tableColumn id="3" name="Full Name"/>
    <x:tableColumn id="4" name="Role"/>
    <x:tableColumn id="5" name="Branch"/>
    <x:tableColumn id="6" name="Phone"/>
    <x:tableColumn id="7" name="Email"/>
    <x:tableColumn id="8" name="Join Date"/>
    <x:tableColumn id="9" name="Employment Status"/>
    <x:tableColumn id="10" name="Certification"/>
    <x:tableColumn id="11" name="Certification Expiry"/>
    <x:tableColumn id="12" name="Pay Type"/>
    <x:tableColumn id="13" name="Rate"/>
    <x:tableColumn id="14" name="Emergency Contact"/>
    <x:tableColumn id="15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AssetsTable" displayName="AssetsTable" ref="A5:Q105" headerRowCount="1">
  <x:tableColumns count="17">
    <x:tableColumn id="1" name="Record Type"/>
    <x:tableColumn id="2" name="Asset ID"/>
    <x:tableColumn id="3" name="Equipment / Asset"/>
    <x:tableColumn id="4" name="Category"/>
    <x:tableColumn id="5" name="Branch"/>
    <x:tableColumn id="6" name="Quantity"/>
    <x:tableColumn id="7" name="Purchase Date"/>
    <x:tableColumn id="8" name="Purchase Cost"/>
    <x:tableColumn id="9" name="Supplier"/>
    <x:tableColumn id="10" name="Condition"/>
    <x:tableColumn id="11" name="Last Service Date"/>
    <x:tableColumn id="12" name="Service Interval (Days)"/>
    <x:tableColumn id="13" name="Next Service Due"/>
    <x:tableColumn id="14" name="Status"/>
    <x:tableColumn id="15" name="Warranty Expiry"/>
    <x:tableColumn id="16" name="Responsible Staff"/>
    <x:tableColumn id="1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InventoryTable" displayName="InventoryTable" ref="A5:Q105" headerRowCount="1">
  <x:tableColumns count="17">
    <x:tableColumn id="1" name="Record Type"/>
    <x:tableColumn id="2" name="Item ID"/>
    <x:tableColumn id="3" name="Item Name"/>
    <x:tableColumn id="4" name="Category"/>
    <x:tableColumn id="5" name="Branch"/>
    <x:tableColumn id="6" name="Unit"/>
    <x:tableColumn id="7" name="Opening Qty"/>
    <x:tableColumn id="8" name="Qty Received"/>
    <x:tableColumn id="9" name="Qty Used"/>
    <x:tableColumn id="10" name="Closing Qty"/>
    <x:tableColumn id="11" name="Reorder Level"/>
    <x:tableColumn id="12" name="Reorder Flag"/>
    <x:tableColumn id="13" name="Unit Cost"/>
    <x:tableColumn id="14" name="Stock Value"/>
    <x:tableColumn id="15" name="Supplier"/>
    <x:tableColumn id="16" name="Last Updated"/>
    <x:tableColumn id="1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9b7ac44cf0449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5e95d6ea2f54b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36b64206f784a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e7a54cc5a7a4e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87b6377a41644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2361bae405542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422293e53d44f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a3578b578e54b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a00031bb9540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a1f702c4c424e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8e972d697c6c467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2.xml" Id="Rce1e8102b80c432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3.xml" Id="R392ca9863e5947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4" t="str">
        <x:v>PILATES STUDIO BUSINESS MANAGEMENT SYSTEM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0" t="str">
        <x:v>Excel-first operating system for a boutique Pilates studio — designed for non-technical staff, managers, owners and shareholders.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53" t="str">
        <x:v>Use this workbook before building an app. Enter operational data once; dashboards and charts update automatically.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6">
      <x:c r="A6" s="18" t="str">
        <x:v>1. Daily Team Use</x:v>
      </x:c>
      <x:c r="B6" s="18"/>
      <x:c r="C6" s="18"/>
      <x:c r="D6" s="18"/>
      <x:c r="E6" s="18" t="str">
        <x:v>2. Money &amp; Sales</x:v>
      </x:c>
      <x:c r="F6" s="18"/>
      <x:c r="G6" s="18"/>
      <x:c r="H6" s="18"/>
      <x:c r="I6" s="18" t="str">
        <x:v>3. Operations</x:v>
      </x:c>
      <x:c r="J6" s="18"/>
      <x:c r="K6" s="18"/>
      <x:c r="L6" s="18"/>
    </x:row>
    <x:row r="7">
      <x:c r="A7" s="53" t="str">
        <x:v>01_DAILY_DESK — tasks and alerts
02_MEMBERS — member register
03_CLASS_SCHEDULE — class calendar
04_ATTENDANCE — bookings and attendance</x:v>
      </x:c>
      <x:c r="B7" s="53"/>
      <x:c r="C7" s="53"/>
      <x:c r="D7" s="53"/>
      <x:c r="E7" s="53" t="str">
        <x:v>05_SALES_PAYMENTS — invoices and collections
06_EXPENSES — costs and cash-outs
07_LEADS_TRIALS — enquiries, trials and conversion</x:v>
      </x:c>
      <x:c r="F7" s="53"/>
      <x:c r="G7" s="53"/>
      <x:c r="H7" s="53"/>
      <x:c r="I7" s="53" t="str">
        <x:v>08_CLIENT_PROGRESS — approved progress measures
09_STAFF — staff and certification
10_ASSETS_MAINT — equipment maintenance
11_INVENTORY — supplies and reorder</x:v>
      </x:c>
      <x:c r="J7" s="53"/>
      <x:c r="K7" s="53"/>
      <x:c r="L7" s="53"/>
    </x:row>
    <x:row r="8">
      <x:c r="A8" s="53"/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</x:row>
    <x:row r="13">
      <x:c r="A13" s="18" t="str">
        <x:v>4. Dashboards</x:v>
      </x:c>
      <x:c r="B13" s="18"/>
      <x:c r="C13" s="18"/>
      <x:c r="D13" s="18"/>
      <x:c r="E13" s="18" t="str">
        <x:v>5. Controls</x:v>
      </x:c>
      <x:c r="F13" s="18"/>
      <x:c r="G13" s="18"/>
      <x:c r="H13" s="18"/>
      <x:c r="I13" s="18" t="str">
        <x:v>6. Input Rules</x:v>
      </x:c>
      <x:c r="J13" s="18"/>
      <x:c r="K13" s="18"/>
      <x:c r="L13" s="18"/>
    </x:row>
    <x:row r="14">
      <x:c r="A14" s="53" t="str">
        <x:v>12_CUSTOMER_DASHBOARD — client-facing progress
13_OWNER_DASHBOARD — P&amp;L and cash flow
14_SHAREHOLDER_ANALYTICS — detailed governance metrics</x:v>
      </x:c>
      <x:c r="B14" s="53"/>
      <x:c r="C14" s="53"/>
      <x:c r="D14" s="53"/>
      <x:c r="E14" s="53" t="str">
        <x:v>15_MONTHLY_CLOSE — month-end sign-off
99_SETTINGS — master dropdowns and targets
_BACKEND sheets — formula engines; do not edit</x:v>
      </x:c>
      <x:c r="F14" s="53"/>
      <x:c r="G14" s="53"/>
      <x:c r="H14" s="53"/>
      <x:c r="I14" s="53" t="str">
        <x:v>Blue text / yellow cells = input
Green or grey cells = formulas
Use one row per event
Never overwrite automatic ID or calculated columns</x:v>
      </x:c>
      <x:c r="J14" s="53"/>
      <x:c r="K14" s="53"/>
      <x:c r="L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</x:row>
    <x:row r="21">
      <x:c r="A21" s="28" t="str">
        <x:v>Recommended workflow: Setup masters → register staff → register members → schedule classes → record attendance → record sales and expenses → review dashboards weekly → close each month.</x:v>
      </x:c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</x:row>
    <x:row r="23">
      <x:c r="A23" s="53" t="str">
        <x:v>Privacy &amp; safety: Restrict access to health/safety notes and internal coaching notes. Customer dashboards must show only client-approved non-diagnostic metrics. Shareholders should receive aggregated results, not personal health information.</x:v>
      </x:c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</x:row>
  </x:sheetData>
  <x:mergeCells>
    <x:mergeCell ref="A1:L1"/>
    <x:mergeCell ref="A2:L2"/>
    <x:mergeCell ref="A4:L4"/>
    <x:mergeCell ref="A6:D6"/>
    <x:mergeCell ref="A7:D11"/>
    <x:mergeCell ref="E6:H6"/>
    <x:mergeCell ref="E7:H11"/>
    <x:mergeCell ref="I6:L6"/>
    <x:mergeCell ref="I7:L11"/>
    <x:mergeCell ref="A13:D13"/>
    <x:mergeCell ref="A14:D18"/>
    <x:mergeCell ref="E13:H13"/>
    <x:mergeCell ref="E14:H18"/>
    <x:mergeCell ref="I13:L13"/>
    <x:mergeCell ref="I14:L18"/>
    <x:mergeCell ref="A21:L21"/>
    <x:mergeCell ref="A23:L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4" t="str">
        <x:v>DAILY DESK — SIMPLE STAFF 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0" t="str">
        <x:v>Compact morning and end-of-day view. Detailed entry remains in the relevant operational sheets.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28" t="str">
        <x:v>Today’s Classes</x:v>
      </x:c>
      <x:c r="B4" s="28"/>
      <x:c r="C4" s="28"/>
      <x:c r="D4" s="28" t="str">
        <x:v>Today’s Bookings</x:v>
      </x:c>
      <x:c r="E4" s="28"/>
      <x:c r="F4" s="28"/>
      <x:c r="G4" s="28" t="str">
        <x:v>Payments Due</x:v>
      </x:c>
      <x:c r="H4" s="28"/>
      <x:c r="I4" s="28"/>
      <x:c r="J4" s="28" t="str">
        <x:v>Follow-ups Due</x:v>
      </x:c>
      <x:c r="K4" s="28"/>
      <x:c r="L4" s="28"/>
    </x:row>
    <x:row r="5">
      <x:c r="A5" s="102" t="n">
        <x:f>COUNTIF('03_CLASS_SCHEDULE'!C6:C105,TODAY())</x:f>
        <x:v>1</x:v>
      </x:c>
      <x:c r="B5" s="102"/>
      <x:c r="C5" s="102"/>
      <x:c r="D5" s="102" t="n">
        <x:f>COUNTIF('04_ATTENDANCE'!D6:D105,TODAY())</x:f>
        <x:v>0</x:v>
      </x:c>
      <x:c r="E5" s="102"/>
      <x:c r="F5" s="102"/>
      <x:c r="G5" s="102" t="n">
        <x:f>COUNTIFS('05_SALES_PAYMENTS'!P6:P105,"&lt;="&amp;TODAY(),'05_SALES_PAYMENTS'!N6:N105,"&gt;0")</x:f>
        <x:v>4</x:v>
      </x:c>
      <x:c r="H5" s="102"/>
      <x:c r="I5" s="102"/>
      <x:c r="J5" s="102" t="n">
        <x:f>COUNTIFS('07_LEADS_TRIALS'!O6:O105,"&lt;="&amp;TODAY(),'07_LEADS_TRIALS'!J6:J105,"&lt;&gt;Converted",'07_LEADS_TRIALS'!J6:J105,"&lt;&gt;Lost")</x:f>
        <x:v>78</x:v>
      </x:c>
      <x:c r="K5" s="102"/>
      <x:c r="L5" s="102"/>
    </x:row>
    <x:row r="6">
      <x:c r="A6" s="102"/>
      <x:c r="B6" s="102"/>
      <x:c r="C6" s="102"/>
      <x:c r="D6" s="102"/>
      <x:c r="E6" s="102"/>
      <x:c r="F6" s="102"/>
      <x:c r="G6" s="102"/>
      <x:c r="H6" s="102"/>
      <x:c r="I6" s="102"/>
      <x:c r="J6" s="102"/>
      <x:c r="K6" s="102"/>
      <x:c r="L6" s="102"/>
    </x:row>
    <x:row r="7">
      <x:c r="A7" s="102"/>
      <x:c r="B7" s="102"/>
      <x:c r="C7" s="102"/>
      <x:c r="D7" s="102"/>
      <x:c r="E7" s="102"/>
      <x:c r="F7" s="102"/>
      <x:c r="G7" s="102"/>
      <x:c r="H7" s="102"/>
      <x:c r="I7" s="102"/>
      <x:c r="J7" s="102"/>
      <x:c r="K7" s="102"/>
      <x:c r="L7" s="102"/>
    </x:row>
    <x:row r="10">
      <x:c r="A10" s="18" t="str">
        <x:v>Time</x:v>
      </x:c>
      <x:c r="B10" s="18" t="str">
        <x:v>Task</x:v>
      </x:c>
      <x:c r="C10" s="18" t="str">
        <x:v>Owner</x:v>
      </x:c>
      <x:c r="D10" s="18" t="str">
        <x:v>Status</x:v>
      </x:c>
      <x:c r="E10" s="18" t="str">
        <x:v>Notes</x:v>
      </x:c>
      <x:c r="G10" s="18" t="str">
        <x:v>Operational Alerts</x:v>
      </x:c>
      <x:c r="H10" s="18"/>
      <x:c r="I10" s="18"/>
      <x:c r="J10" s="18"/>
      <x:c r="K10" s="18"/>
      <x:c r="L10" s="18"/>
    </x:row>
    <x:row r="11">
      <x:c r="A11" s="37" t="str">
        <x:v>Opening</x:v>
      </x:c>
      <x:c r="B11" s="37" t="str">
        <x:v>Open studio &amp; safety check</x:v>
      </x:c>
      <x:c r="C11" s="37" t="str">
        <x:v>Reception</x:v>
      </x:c>
      <x:c r="D11" s="37" t="str">
        <x:v>Pending</x:v>
      </x:c>
      <x:c r="E11" s="37" t="str"/>
      <x:c r="G11" s="53" t="e">
        <x:f>"Outstanding customer balances: "&amp;TEXT(SUM('05_SALES_PAYMENTS'!N6:N105),"NPR #,##0")&amp;CHAR(10)&amp;"Unpaid expenses: "&amp;TEXT(SUM('06_EXPENSES'!L6:L105),"NPR #,##0")&amp;CHAR(10)&amp;"Assets needing repair: "&amp;COUNTIF('10_ASSETS_MAINT'!J6:J105,"Needs Repair")&amp;CHAR(10)&amp;"Inventory reorder items: "&amp;COUNTIF('11_INVENTORY'!L6:L105,"REORDER")&amp;CHAR(10)&amp;"Memberships expiring within 30 days: "&amp;COUNTIFS('02_MEMBERS'!K6:K105,"&gt;="&amp;TODAY(),'02_MEMBERS'!K6:K105,"&lt;="&amp;TODAY()+30)</x:f>
      </x:c>
      <x:c r="H11" s="53"/>
      <x:c r="I11" s="53"/>
      <x:c r="J11" s="53"/>
      <x:c r="K11" s="53"/>
      <x:c r="L11" s="53"/>
    </x:row>
    <x:row r="12">
      <x:c r="A12" s="37" t="str">
        <x:v>Before first class</x:v>
      </x:c>
      <x:c r="B12" s="37" t="str">
        <x:v>Check bookings and new clients</x:v>
      </x:c>
      <x:c r="C12" s="37" t="str">
        <x:v>Reception</x:v>
      </x:c>
      <x:c r="D12" s="37" t="str">
        <x:v>Pending</x:v>
      </x:c>
      <x:c r="E12" s="37" t="str"/>
      <x:c r="G12" s="53"/>
      <x:c r="H12" s="53"/>
      <x:c r="I12" s="53"/>
      <x:c r="J12" s="53"/>
      <x:c r="K12" s="53"/>
      <x:c r="L12" s="53"/>
    </x:row>
    <x:row r="13">
      <x:c r="A13" s="37" t="str">
        <x:v>Before each class</x:v>
      </x:c>
      <x:c r="B13" s="37" t="str">
        <x:v>Clean and prepare equipment</x:v>
      </x:c>
      <x:c r="C13" s="37" t="str">
        <x:v>Instructor</x:v>
      </x:c>
      <x:c r="D13" s="37" t="str">
        <x:v>Pending</x:v>
      </x:c>
      <x:c r="E13" s="37" t="str"/>
      <x:c r="G13" s="53"/>
      <x:c r="H13" s="53"/>
      <x:c r="I13" s="53"/>
      <x:c r="J13" s="53"/>
      <x:c r="K13" s="53"/>
      <x:c r="L13" s="53"/>
    </x:row>
    <x:row r="14">
      <x:c r="A14" s="37" t="str">
        <x:v>Midday</x:v>
      </x:c>
      <x:c r="B14" s="37" t="str">
        <x:v>Follow up leads and overdue payments</x:v>
      </x:c>
      <x:c r="C14" s="37" t="str">
        <x:v>Customer Success</x:v>
      </x:c>
      <x:c r="D14" s="37" t="str">
        <x:v>Pending</x:v>
      </x:c>
      <x:c r="E14" s="37" t="str"/>
      <x:c r="G14" s="53"/>
      <x:c r="H14" s="53"/>
      <x:c r="I14" s="53"/>
      <x:c r="J14" s="53"/>
      <x:c r="K14" s="53"/>
      <x:c r="L14" s="53"/>
    </x:row>
    <x:row r="15">
      <x:c r="A15" s="37" t="str">
        <x:v>End of day</x:v>
      </x:c>
      <x:c r="B15" s="37" t="str">
        <x:v>Reconcile payments and attendance</x:v>
      </x:c>
      <x:c r="C15" s="37" t="str">
        <x:v>Manager</x:v>
      </x:c>
      <x:c r="D15" s="37" t="str">
        <x:v>Pending</x:v>
      </x:c>
      <x:c r="E15" s="37" t="str"/>
      <x:c r="G15" s="53"/>
      <x:c r="H15" s="53"/>
      <x:c r="I15" s="53"/>
      <x:c r="J15" s="53"/>
      <x:c r="K15" s="53"/>
      <x:c r="L15" s="53"/>
    </x:row>
    <x:row r="16">
      <x:c r="A16" s="37" t="str">
        <x:v>Closing</x:v>
      </x:c>
      <x:c r="B16" s="37" t="str">
        <x:v>Clean, secure and close studio</x:v>
      </x:c>
      <x:c r="C16" s="37" t="str">
        <x:v>Reception</x:v>
      </x:c>
      <x:c r="D16" s="37" t="str">
        <x:v>Pending</x:v>
      </x:c>
      <x:c r="E16" s="37" t="str"/>
      <x:c r="G16" s="53"/>
      <x:c r="H16" s="53"/>
      <x:c r="I16" s="53"/>
      <x:c r="J16" s="53"/>
      <x:c r="K16" s="53"/>
      <x:c r="L16" s="53"/>
    </x:row>
  </x:sheetData>
  <x:mergeCells>
    <x:mergeCell ref="A1:L1"/>
    <x:mergeCell ref="A2:L2"/>
    <x:mergeCell ref="A4:C4"/>
    <x:mergeCell ref="A5:C7"/>
    <x:mergeCell ref="D4:F4"/>
    <x:mergeCell ref="D5:F7"/>
    <x:mergeCell ref="G4:I4"/>
    <x:mergeCell ref="G5:I7"/>
    <x:mergeCell ref="J4:L4"/>
    <x:mergeCell ref="J5:L7"/>
    <x:mergeCell ref="G10:L10"/>
    <x:mergeCell ref="G11:L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16" hidden="0" customWidth="1"/>
    <x:col min="5" max="5" width="24" hidden="0" customWidth="1"/>
    <x:col min="6" max="6" width="13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13" hidden="0" customWidth="1"/>
    <x:col min="14" max="14" width="15" hidden="0" customWidth="1"/>
    <x:col min="15" max="15" width="18" hidden="0" customWidth="1"/>
    <x:col min="16" max="16" width="22" hidden="0" customWidth="1"/>
    <x:col min="17" max="17" width="25" hidden="0" customWidth="1"/>
    <x:col min="18" max="18" width="34" hidden="0" customWidth="1"/>
    <x:col min="19" max="19" width="24" hidden="0" customWidth="1"/>
    <x:col min="20" max="20" width="15" hidden="0" customWidth="1"/>
    <x:col min="21" max="21" width="20" hidden="0" customWidth="1"/>
    <x:col min="22" max="22" width="28" hidden="0" customWidth="1"/>
  </x:cols>
  <x:sheetData>
    <x:row r="1" ht="34" customHeight="1">
      <x:c r="A1" s="4" t="str">
        <x:v>MEMBER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6" customHeight="1">
      <x:c r="A2" s="10" t="str">
        <x:v>One row per client. Optional fields may be completed later.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</x:row>
    <x:row r="4">
      <x:c r="A4" s="53" t="str">
        <x:v>Yellow = staff input | Grey/green = automatic calculation | Demo rows can be replaced with real data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</x:row>
    <x:row r="5" ht="34" customHeight="1">
      <x:c r="A5" s="18" t="str">
        <x:v>Record Type</x:v>
      </x:c>
      <x:c r="B5" s="18" t="str">
        <x:v>Member ID</x:v>
      </x:c>
      <x:c r="C5" s="18" t="str">
        <x:v>Full Name</x:v>
      </x:c>
      <x:c r="D5" s="18" t="str">
        <x:v>Phone</x:v>
      </x:c>
      <x:c r="E5" s="18" t="str">
        <x:v>Email</x:v>
      </x:c>
      <x:c r="F5" s="18" t="str">
        <x:v>Join Date</x:v>
      </x:c>
      <x:c r="G5" s="18" t="str">
        <x:v>Branch</x:v>
      </x:c>
      <x:c r="H5" s="18" t="str">
        <x:v>Membership Plan</x:v>
      </x:c>
      <x:c r="I5" s="18" t="str">
        <x:v>Status</x:v>
      </x:c>
      <x:c r="J5" s="18" t="str">
        <x:v>Membership Start</x:v>
      </x:c>
      <x:c r="K5" s="18" t="str">
        <x:v>Membership End</x:v>
      </x:c>
      <x:c r="L5" s="18" t="str">
        <x:v>Sessions Purchased</x:v>
      </x:c>
      <x:c r="M5" s="18" t="str">
        <x:v>Sessions Used</x:v>
      </x:c>
      <x:c r="N5" s="18" t="str">
        <x:v>Sessions Remaining</x:v>
      </x:c>
      <x:c r="O5" s="18" t="str">
        <x:v>Outstanding Balance</x:v>
      </x:c>
      <x:c r="P5" s="18" t="str">
        <x:v>Assigned Instructor</x:v>
      </x:c>
      <x:c r="Q5" s="18" t="str">
        <x:v>Primary Goal</x:v>
      </x:c>
      <x:c r="R5" s="18" t="str">
        <x:v>Health / Safety Notes (Confidential)</x:v>
      </x:c>
      <x:c r="S5" s="18" t="str">
        <x:v>Emergency Contact</x:v>
      </x:c>
      <x:c r="T5" s="18" t="str">
        <x:v>Consent Status</x:v>
      </x:c>
      <x:c r="U5" s="18" t="str">
        <x:v>Referral Source</x:v>
      </x:c>
      <x:c r="V5" s="18" t="str">
        <x:v>Notes</x:v>
      </x:c>
    </x:row>
    <x:row r="6">
      <x:c r="A6" s="37" t="str">
        <x:v>DEMO</x:v>
      </x:c>
      <x:c r="B6" s="59" t="str">
        <x:f>IF(C6="","","MBR-"&amp;TEXT(ROW()-5,"0000"))</x:f>
        <x:v>MBR-0001</x:v>
      </x:c>
      <x:c r="C6" s="37" t="str">
        <x:v>Aarati Karki</x:v>
      </x:c>
      <x:c r="D6" s="37" t="str">
        <x:v>9800000000</x:v>
      </x:c>
      <x:c r="E6" s="37" t="str">
        <x:v>client1@example.com</x:v>
      </x:c>
      <x:c r="F6" s="42" t="n">
        <x:v>46032</x:v>
      </x:c>
      <x:c r="G6" s="37" t="str">
        <x:v>Main Studio</x:v>
      </x:c>
      <x:c r="H6" s="37" t="str">
        <x:v>Monthly 8</x:v>
      </x:c>
      <x:c r="I6" s="37" t="str">
        <x:v>Active</x:v>
      </x:c>
      <x:c r="J6" s="42" t="n">
        <x:v>46032</x:v>
      </x:c>
      <x:c r="K6" s="42" t="n">
        <x:v>46062</x:v>
      </x:c>
      <x:c r="L6" s="66" t="n">
        <x:v>8</x:v>
      </x:c>
      <x:c r="M6" s="67" t="n">
        <x:f>IF(B6="","",COUNTIFS('04_ATTENDANCE'!$E$6:$E$105,B6,'04_ATTENDANCE'!$M$6:$M$105,1))</x:f>
        <x:v>2</x:v>
      </x:c>
      <x:c r="N6" s="68" t="n">
        <x:f>IF(B6="","",MAX(0,L6-M6))</x:f>
        <x:v>6</x:v>
      </x:c>
      <x:c r="O6" s="67" t="n">
        <x:f>IF(B6="","",SUMIFS('05_SALES_PAYMENTS'!$N$6:$N$105,'05_SALES_PAYMENTS'!$D$6:$D$105,B6))</x:f>
        <x:v>6000</x:v>
      </x:c>
      <x:c r="P6" s="37" t="str">
        <x:v>Maya Gurung</x:v>
      </x:c>
      <x:c r="Q6" s="37" t="str">
        <x:v>Posture</x:v>
      </x:c>
      <x:c r="R6" s="37" t="str"/>
      <x:c r="S6" s="37" t="str">
        <x:v>Emergency contact</x:v>
      </x:c>
      <x:c r="T6" s="37" t="str">
        <x:v>Signed</x:v>
      </x:c>
      <x:c r="U6" s="37" t="str">
        <x:v>Instagram</x:v>
      </x:c>
      <x:c r="V6" s="37" t="str">
        <x:v>Demo client</x:v>
      </x:c>
    </x:row>
    <x:row r="7">
      <x:c r="A7" s="37" t="str">
        <x:v>DEMO</x:v>
      </x:c>
      <x:c r="B7" s="59" t="str">
        <x:f>IF(C7="","","MBR-"&amp;TEXT(ROW()-5,"0000"))</x:f>
        <x:v>MBR-0002</x:v>
      </x:c>
      <x:c r="C7" s="37" t="str">
        <x:v>Sneha Joshi</x:v>
      </x:c>
      <x:c r="D7" s="37" t="str">
        <x:v>9800000001</x:v>
      </x:c>
      <x:c r="E7" s="37" t="str">
        <x:v>client2@example.com</x:v>
      </x:c>
      <x:c r="F7" s="42" t="n">
        <x:v>46044</x:v>
      </x:c>
      <x:c r="G7" s="37" t="str">
        <x:v>Main Studio</x:v>
      </x:c>
      <x:c r="H7" s="37" t="str">
        <x:v>Monthly 12</x:v>
      </x:c>
      <x:c r="I7" s="37" t="str">
        <x:v>Active</x:v>
      </x:c>
      <x:c r="J7" s="42" t="n">
        <x:v>46044</x:v>
      </x:c>
      <x:c r="K7" s="42" t="n">
        <x:v>46074</x:v>
      </x:c>
      <x:c r="L7" s="66" t="n">
        <x:v>12</x:v>
      </x:c>
      <x:c r="M7" s="67" t="n">
        <x:f>IF(B7="","",COUNTIFS('04_ATTENDANCE'!$E$6:$E$105,B7,'04_ATTENDANCE'!$M$6:$M$105,1))</x:f>
        <x:v>6</x:v>
      </x:c>
      <x:c r="N7" s="68" t="n">
        <x:f>IF(B7="","",MAX(0,L7-M7))</x:f>
        <x:v>6</x:v>
      </x:c>
      <x:c r="O7" s="67" t="n">
        <x:f>IF(B7="","",SUMIFS('05_SALES_PAYMENTS'!$N$6:$N$105,'05_SALES_PAYMENTS'!$D$6:$D$105,B7))</x:f>
        <x:v>0</x:v>
      </x:c>
      <x:c r="P7" s="37" t="str">
        <x:v>Maya Gurung</x:v>
      </x:c>
      <x:c r="Q7" s="37" t="str">
        <x:v>Core strength</x:v>
      </x:c>
      <x:c r="R7" s="37" t="str"/>
      <x:c r="S7" s="37" t="str">
        <x:v>Emergency contact</x:v>
      </x:c>
      <x:c r="T7" s="37" t="str">
        <x:v>Signed</x:v>
      </x:c>
      <x:c r="U7" s="37" t="str">
        <x:v>Referral</x:v>
      </x:c>
      <x:c r="V7" s="37" t="str">
        <x:v>Demo client</x:v>
      </x:c>
    </x:row>
    <x:row r="8">
      <x:c r="A8" s="37" t="str">
        <x:v>DEMO</x:v>
      </x:c>
      <x:c r="B8" s="59" t="str">
        <x:f>IF(C8="","","MBR-"&amp;TEXT(ROW()-5,"0000"))</x:f>
        <x:v>MBR-0003</x:v>
      </x:c>
      <x:c r="C8" s="37" t="str">
        <x:v>Prerana Shrestha</x:v>
      </x:c>
      <x:c r="D8" s="37" t="str">
        <x:v>9800000002</x:v>
      </x:c>
      <x:c r="E8" s="37" t="str">
        <x:v>client3@example.com</x:v>
      </x:c>
      <x:c r="F8" s="42" t="n">
        <x:v>46056</x:v>
      </x:c>
      <x:c r="G8" s="37" t="str">
        <x:v>Main Studio</x:v>
      </x:c>
      <x:c r="H8" s="37" t="str">
        <x:v>Unlimited Monthly</x:v>
      </x:c>
      <x:c r="I8" s="37" t="str">
        <x:v>Active</x:v>
      </x:c>
      <x:c r="J8" s="42" t="n">
        <x:v>46056</x:v>
      </x:c>
      <x:c r="K8" s="42" t="n">
        <x:v>46086</x:v>
      </x:c>
      <x:c r="L8" s="66" t="n">
        <x:v>30</x:v>
      </x:c>
      <x:c r="M8" s="67" t="n">
        <x:f>IF(B8="","",COUNTIFS('04_ATTENDANCE'!$E$6:$E$105,B8,'04_ATTENDANCE'!$M$6:$M$105,1))</x:f>
        <x:v>9</x:v>
      </x:c>
      <x:c r="N8" s="68" t="n">
        <x:f>IF(B8="","",MAX(0,L8-M8))</x:f>
        <x:v>21</x:v>
      </x:c>
      <x:c r="O8" s="67" t="n">
        <x:f>IF(B8="","",SUMIFS('05_SALES_PAYMENTS'!$N$6:$N$105,'05_SALES_PAYMENTS'!$D$6:$D$105,B8))</x:f>
        <x:v>0</x:v>
      </x:c>
      <x:c r="P8" s="37" t="str">
        <x:v>Maya Gurung</x:v>
      </x:c>
      <x:c r="Q8" s="37" t="str">
        <x:v>Mobility</x:v>
      </x:c>
      <x:c r="R8" s="37" t="str"/>
      <x:c r="S8" s="37" t="str">
        <x:v>Emergency contact</x:v>
      </x:c>
      <x:c r="T8" s="37" t="str">
        <x:v>Signed</x:v>
      </x:c>
      <x:c r="U8" s="37" t="str">
        <x:v>Google Maps</x:v>
      </x:c>
      <x:c r="V8" s="37" t="str">
        <x:v>Demo client</x:v>
      </x:c>
    </x:row>
    <x:row r="9">
      <x:c r="A9" s="37" t="str">
        <x:v>DEMO</x:v>
      </x:c>
      <x:c r="B9" s="59" t="str">
        <x:f>IF(C9="","","MBR-"&amp;TEXT(ROW()-5,"0000"))</x:f>
        <x:v>MBR-0004</x:v>
      </x:c>
      <x:c r="C9" s="37" t="str">
        <x:v>Nina Maharjan</x:v>
      </x:c>
      <x:c r="D9" s="37" t="str">
        <x:v>9800000003</x:v>
      </x:c>
      <x:c r="E9" s="37" t="str">
        <x:v>client4@example.com</x:v>
      </x:c>
      <x:c r="F9" s="42" t="n">
        <x:v>46068</x:v>
      </x:c>
      <x:c r="G9" s="37" t="str">
        <x:v>Main Studio</x:v>
      </x:c>
      <x:c r="H9" s="37" t="str">
        <x:v>Monthly 8</x:v>
      </x:c>
      <x:c r="I9" s="37" t="str">
        <x:v>Active</x:v>
      </x:c>
      <x:c r="J9" s="42" t="n">
        <x:v>46068</x:v>
      </x:c>
      <x:c r="K9" s="42" t="n">
        <x:v>46098</x:v>
      </x:c>
      <x:c r="L9" s="66" t="n">
        <x:v>8</x:v>
      </x:c>
      <x:c r="M9" s="67" t="n">
        <x:f>IF(B9="","",COUNTIFS('04_ATTENDANCE'!$E$6:$E$105,B9,'04_ATTENDANCE'!$M$6:$M$105,1))</x:f>
        <x:v>6</x:v>
      </x:c>
      <x:c r="N9" s="68" t="n">
        <x:f>IF(B9="","",MAX(0,L9-M9))</x:f>
        <x:v>2</x:v>
      </x:c>
      <x:c r="O9" s="67" t="n">
        <x:f>IF(B9="","",SUMIFS('05_SALES_PAYMENTS'!$N$6:$N$105,'05_SALES_PAYMENTS'!$D$6:$D$105,B9))</x:f>
        <x:v>3000</x:v>
      </x:c>
      <x:c r="P9" s="37" t="str">
        <x:v>Maya Gurung</x:v>
      </x:c>
      <x:c r="Q9" s="37" t="str">
        <x:v>Back comfort</x:v>
      </x:c>
      <x:c r="R9" s="37" t="str"/>
      <x:c r="S9" s="37" t="str">
        <x:v>Emergency contact</x:v>
      </x:c>
      <x:c r="T9" s="37" t="str">
        <x:v>Signed</x:v>
      </x:c>
      <x:c r="U9" s="37" t="str">
        <x:v>Walk-in</x:v>
      </x:c>
      <x:c r="V9" s="37" t="str">
        <x:v>Demo client</x:v>
      </x:c>
    </x:row>
    <x:row r="10">
      <x:c r="A10" s="37" t="str">
        <x:v>DEMO</x:v>
      </x:c>
      <x:c r="B10" s="59" t="str">
        <x:f>IF(C10="","","MBR-"&amp;TEXT(ROW()-5,"0000"))</x:f>
        <x:v>MBR-0005</x:v>
      </x:c>
      <x:c r="C10" s="37" t="str">
        <x:v>Samira Rana</x:v>
      </x:c>
      <x:c r="D10" s="37" t="str">
        <x:v>9800000004</x:v>
      </x:c>
      <x:c r="E10" s="37" t="str">
        <x:v>client5@example.com</x:v>
      </x:c>
      <x:c r="F10" s="42" t="n">
        <x:v>46080</x:v>
      </x:c>
      <x:c r="G10" s="37" t="str">
        <x:v>Main Studio</x:v>
      </x:c>
      <x:c r="H10" s="37" t="str">
        <x:v>Private 5</x:v>
      </x:c>
      <x:c r="I10" s="37" t="str">
        <x:v>Active</x:v>
      </x:c>
      <x:c r="J10" s="42" t="n">
        <x:v>46080</x:v>
      </x:c>
      <x:c r="K10" s="42" t="n">
        <x:v>46110</x:v>
      </x:c>
      <x:c r="L10" s="66" t="n">
        <x:v>5</x:v>
      </x:c>
      <x:c r="M10" s="67" t="n">
        <x:f>IF(B10="","",COUNTIFS('04_ATTENDANCE'!$E$6:$E$105,B10,'04_ATTENDANCE'!$M$6:$M$105,1))</x:f>
        <x:v>11</x:v>
      </x:c>
      <x:c r="N10" s="68" t="n">
        <x:f>IF(B10="","",MAX(0,L10-M10))</x:f>
        <x:v>0</x:v>
      </x:c>
      <x:c r="O10" s="67" t="n">
        <x:f>IF(B10="","",SUMIFS('05_SALES_PAYMENTS'!$N$6:$N$105,'05_SALES_PAYMENTS'!$D$6:$D$105,B10))</x:f>
        <x:v>0</x:v>
      </x:c>
      <x:c r="P10" s="37" t="str">
        <x:v>Maya Gurung</x:v>
      </x:c>
      <x:c r="Q10" s="37" t="str">
        <x:v>Posture</x:v>
      </x:c>
      <x:c r="R10" s="37" t="str"/>
      <x:c r="S10" s="37" t="str">
        <x:v>Emergency contact</x:v>
      </x:c>
      <x:c r="T10" s="37" t="str">
        <x:v>Signed</x:v>
      </x:c>
      <x:c r="U10" s="37" t="str">
        <x:v>Instagram</x:v>
      </x:c>
      <x:c r="V10" s="37" t="str">
        <x:v>Demo client</x:v>
      </x:c>
    </x:row>
    <x:row r="11">
      <x:c r="A11" s="37" t="str">
        <x:v>DEMO</x:v>
      </x:c>
      <x:c r="B11" s="59" t="str">
        <x:f>IF(C11="","","MBR-"&amp;TEXT(ROW()-5,"0000"))</x:f>
        <x:v>MBR-0006</x:v>
      </x:c>
      <x:c r="C11" s="37" t="str">
        <x:v>Isha Bista</x:v>
      </x:c>
      <x:c r="D11" s="37" t="str">
        <x:v>9800000005</x:v>
      </x:c>
      <x:c r="E11" s="37" t="str">
        <x:v>client6@example.com</x:v>
      </x:c>
      <x:c r="F11" s="42" t="n">
        <x:v>46092</x:v>
      </x:c>
      <x:c r="G11" s="37" t="str">
        <x:v>Main Studio</x:v>
      </x:c>
      <x:c r="H11" s="37" t="str">
        <x:v>Monthly 12</x:v>
      </x:c>
      <x:c r="I11" s="37" t="str">
        <x:v>Active</x:v>
      </x:c>
      <x:c r="J11" s="42" t="n">
        <x:v>46092</x:v>
      </x:c>
      <x:c r="K11" s="42" t="n">
        <x:v>46122</x:v>
      </x:c>
      <x:c r="L11" s="66" t="n">
        <x:v>12</x:v>
      </x:c>
      <x:c r="M11" s="67" t="n">
        <x:f>IF(B11="","",COUNTIFS('04_ATTENDANCE'!$E$6:$E$105,B11,'04_ATTENDANCE'!$M$6:$M$105,1))</x:f>
        <x:v>10</x:v>
      </x:c>
      <x:c r="N11" s="68" t="n">
        <x:f>IF(B11="","",MAX(0,L11-M11))</x:f>
        <x:v>2</x:v>
      </x:c>
      <x:c r="O11" s="67" t="n">
        <x:f>IF(B11="","",SUMIFS('05_SALES_PAYMENTS'!$N$6:$N$105,'05_SALES_PAYMENTS'!$D$6:$D$105,B11))</x:f>
        <x:v>0</x:v>
      </x:c>
      <x:c r="P11" s="37" t="str">
        <x:v>Maya Gurung</x:v>
      </x:c>
      <x:c r="Q11" s="37" t="str">
        <x:v>Core strength</x:v>
      </x:c>
      <x:c r="R11" s="37" t="str"/>
      <x:c r="S11" s="37" t="str">
        <x:v>Emergency contact</x:v>
      </x:c>
      <x:c r="T11" s="37" t="str">
        <x:v>Signed</x:v>
      </x:c>
      <x:c r="U11" s="37" t="str">
        <x:v>Referral</x:v>
      </x:c>
      <x:c r="V11" s="37" t="str">
        <x:v>Demo client</x:v>
      </x:c>
    </x:row>
    <x:row r="12">
      <x:c r="A12" s="37" t="str">
        <x:v>DEMO</x:v>
      </x:c>
      <x:c r="B12" s="59" t="str">
        <x:f>IF(C12="","","MBR-"&amp;TEXT(ROW()-5,"0000"))</x:f>
        <x:v>MBR-0007</x:v>
      </x:c>
      <x:c r="C12" s="37" t="str">
        <x:v>Anu KC</x:v>
      </x:c>
      <x:c r="D12" s="37" t="str">
        <x:v>9800000006</x:v>
      </x:c>
      <x:c r="E12" s="37" t="str">
        <x:v>client7@example.com</x:v>
      </x:c>
      <x:c r="F12" s="42" t="n">
        <x:v>46104</x:v>
      </x:c>
      <x:c r="G12" s="37" t="str">
        <x:v>Main Studio</x:v>
      </x:c>
      <x:c r="H12" s="37" t="str">
        <x:v>Quarterly 24</x:v>
      </x:c>
      <x:c r="I12" s="37" t="str">
        <x:v>Active</x:v>
      </x:c>
      <x:c r="J12" s="42" t="n">
        <x:v>46104</x:v>
      </x:c>
      <x:c r="K12" s="42" t="n">
        <x:v>46194</x:v>
      </x:c>
      <x:c r="L12" s="66" t="n">
        <x:v>24</x:v>
      </x:c>
      <x:c r="M12" s="67" t="n">
        <x:f>IF(B12="","",COUNTIFS('04_ATTENDANCE'!$E$6:$E$105,B12,'04_ATTENDANCE'!$M$6:$M$105,1))</x:f>
        <x:v>10</x:v>
      </x:c>
      <x:c r="N12" s="68" t="n">
        <x:f>IF(B12="","",MAX(0,L12-M12))</x:f>
        <x:v>14</x:v>
      </x:c>
      <x:c r="O12" s="67" t="n">
        <x:f>IF(B12="","",SUMIFS('05_SALES_PAYMENTS'!$N$6:$N$105,'05_SALES_PAYMENTS'!$D$6:$D$105,B12))</x:f>
        <x:v>3000</x:v>
      </x:c>
      <x:c r="P12" s="37" t="str">
        <x:v>Maya Gurung</x:v>
      </x:c>
      <x:c r="Q12" s="37" t="str">
        <x:v>Mobility</x:v>
      </x:c>
      <x:c r="R12" s="37" t="str"/>
      <x:c r="S12" s="37" t="str">
        <x:v>Emergency contact</x:v>
      </x:c>
      <x:c r="T12" s="37" t="str">
        <x:v>Signed</x:v>
      </x:c>
      <x:c r="U12" s="37" t="str">
        <x:v>Google Maps</x:v>
      </x:c>
      <x:c r="V12" s="37" t="str">
        <x:v>Demo client</x:v>
      </x:c>
    </x:row>
    <x:row r="13">
      <x:c r="A13" s="37" t="str">
        <x:v>DEMO</x:v>
      </x:c>
      <x:c r="B13" s="59" t="str">
        <x:f>IF(C13="","","MBR-"&amp;TEXT(ROW()-5,"0000"))</x:f>
        <x:v>MBR-0008</x:v>
      </x:c>
      <x:c r="C13" s="37" t="str">
        <x:v>Roshni Lama</x:v>
      </x:c>
      <x:c r="D13" s="37" t="str">
        <x:v>9800000007</x:v>
      </x:c>
      <x:c r="E13" s="37" t="str">
        <x:v>client8@example.com</x:v>
      </x:c>
      <x:c r="F13" s="42" t="n">
        <x:v>46116</x:v>
      </x:c>
      <x:c r="G13" s="37" t="str">
        <x:v>Main Studio</x:v>
      </x:c>
      <x:c r="H13" s="37" t="str">
        <x:v>Monthly 8</x:v>
      </x:c>
      <x:c r="I13" s="37" t="str">
        <x:v>Active</x:v>
      </x:c>
      <x:c r="J13" s="42" t="n">
        <x:v>46116</x:v>
      </x:c>
      <x:c r="K13" s="42" t="n">
        <x:v>46146</x:v>
      </x:c>
      <x:c r="L13" s="66" t="n">
        <x:v>8</x:v>
      </x:c>
      <x:c r="M13" s="67" t="n">
        <x:f>IF(B13="","",COUNTIFS('04_ATTENDANCE'!$E$6:$E$105,B13,'04_ATTENDANCE'!$M$6:$M$105,1))</x:f>
        <x:v>9</x:v>
      </x:c>
      <x:c r="N13" s="68" t="n">
        <x:f>IF(B13="","",MAX(0,L13-M13))</x:f>
        <x:v>0</x:v>
      </x:c>
      <x:c r="O13" s="67" t="n">
        <x:f>IF(B13="","",SUMIFS('05_SALES_PAYMENTS'!$N$6:$N$105,'05_SALES_PAYMENTS'!$D$6:$D$105,B13))</x:f>
        <x:v>0</x:v>
      </x:c>
      <x:c r="P13" s="37" t="str">
        <x:v>Maya Gurung</x:v>
      </x:c>
      <x:c r="Q13" s="37" t="str">
        <x:v>Back comfort</x:v>
      </x:c>
      <x:c r="R13" s="37" t="str"/>
      <x:c r="S13" s="37" t="str">
        <x:v>Emergency contact</x:v>
      </x:c>
      <x:c r="T13" s="37" t="str">
        <x:v>Signed</x:v>
      </x:c>
      <x:c r="U13" s="37" t="str">
        <x:v>Walk-in</x:v>
      </x:c>
      <x:c r="V13" s="37" t="str">
        <x:v>Demo client</x:v>
      </x:c>
    </x:row>
    <x:row r="14">
      <x:c r="A14" s="37" t="str">
        <x:v>DEMO</x:v>
      </x:c>
      <x:c r="B14" s="59" t="str">
        <x:f>IF(C14="","","MBR-"&amp;TEXT(ROW()-5,"0000"))</x:f>
        <x:v>MBR-0009</x:v>
      </x:c>
      <x:c r="C14" s="37" t="str">
        <x:v>Kritika Poudel</x:v>
      </x:c>
      <x:c r="D14" s="37" t="str">
        <x:v>9800000008</x:v>
      </x:c>
      <x:c r="E14" s="37" t="str">
        <x:v>client9@example.com</x:v>
      </x:c>
      <x:c r="F14" s="42" t="n">
        <x:v>46128</x:v>
      </x:c>
      <x:c r="G14" s="37" t="str">
        <x:v>Main Studio</x:v>
      </x:c>
      <x:c r="H14" s="37" t="str">
        <x:v>Unlimited Monthly</x:v>
      </x:c>
      <x:c r="I14" s="37" t="str">
        <x:v>Active</x:v>
      </x:c>
      <x:c r="J14" s="42" t="n">
        <x:v>46128</x:v>
      </x:c>
      <x:c r="K14" s="42" t="n">
        <x:v>46158</x:v>
      </x:c>
      <x:c r="L14" s="66" t="n">
        <x:v>30</x:v>
      </x:c>
      <x:c r="M14" s="67" t="n">
        <x:f>IF(B14="","",COUNTIFS('04_ATTENDANCE'!$E$6:$E$105,B14,'04_ATTENDANCE'!$M$6:$M$105,1))</x:f>
        <x:v>9</x:v>
      </x:c>
      <x:c r="N14" s="68" t="n">
        <x:f>IF(B14="","",MAX(0,L14-M14))</x:f>
        <x:v>21</x:v>
      </x:c>
      <x:c r="O14" s="67" t="n">
        <x:f>IF(B14="","",SUMIFS('05_SALES_PAYMENTS'!$N$6:$N$105,'05_SALES_PAYMENTS'!$D$6:$D$105,B14))</x:f>
        <x:v>0</x:v>
      </x:c>
      <x:c r="P14" s="37" t="str">
        <x:v>Maya Gurung</x:v>
      </x:c>
      <x:c r="Q14" s="37" t="str">
        <x:v>Posture</x:v>
      </x:c>
      <x:c r="R14" s="37" t="str"/>
      <x:c r="S14" s="37" t="str">
        <x:v>Emergency contact</x:v>
      </x:c>
      <x:c r="T14" s="37" t="str">
        <x:v>Signed</x:v>
      </x:c>
      <x:c r="U14" s="37" t="str">
        <x:v>Instagram</x:v>
      </x:c>
      <x:c r="V14" s="37" t="str">
        <x:v>Demo client</x:v>
      </x:c>
    </x:row>
    <x:row r="15">
      <x:c r="A15" s="37" t="str">
        <x:v>DEMO</x:v>
      </x:c>
      <x:c r="B15" s="59" t="str">
        <x:f>IF(C15="","","MBR-"&amp;TEXT(ROW()-5,"0000"))</x:f>
        <x:v>MBR-0010</x:v>
      </x:c>
      <x:c r="C15" s="37" t="str">
        <x:v>Neha Shahi</x:v>
      </x:c>
      <x:c r="D15" s="37" t="str">
        <x:v>9800000009</x:v>
      </x:c>
      <x:c r="E15" s="37" t="str">
        <x:v>client10@example.com</x:v>
      </x:c>
      <x:c r="F15" s="42" t="n">
        <x:v>46140</x:v>
      </x:c>
      <x:c r="G15" s="37" t="str">
        <x:v>Main Studio</x:v>
      </x:c>
      <x:c r="H15" s="37" t="str">
        <x:v>Monthly 12</x:v>
      </x:c>
      <x:c r="I15" s="37" t="str">
        <x:v>Active</x:v>
      </x:c>
      <x:c r="J15" s="42" t="n">
        <x:v>46140</x:v>
      </x:c>
      <x:c r="K15" s="42" t="n">
        <x:v>46170</x:v>
      </x:c>
      <x:c r="L15" s="66" t="n">
        <x:v>12</x:v>
      </x:c>
      <x:c r="M15" s="67" t="n">
        <x:f>IF(B15="","",COUNTIFS('04_ATTENDANCE'!$E$6:$E$105,B15,'04_ATTENDANCE'!$M$6:$M$105,1))</x:f>
        <x:v>4</x:v>
      </x:c>
      <x:c r="N15" s="68" t="n">
        <x:f>IF(B15="","",MAX(0,L15-M15))</x:f>
        <x:v>8</x:v>
      </x:c>
      <x:c r="O15" s="67" t="n">
        <x:f>IF(B15="","",SUMIFS('05_SALES_PAYMENTS'!$N$6:$N$105,'05_SALES_PAYMENTS'!$D$6:$D$105,B15))</x:f>
        <x:v>3000</x:v>
      </x:c>
      <x:c r="P15" s="37" t="str">
        <x:v>Maya Gurung</x:v>
      </x:c>
      <x:c r="Q15" s="37" t="str">
        <x:v>Core strength</x:v>
      </x:c>
      <x:c r="R15" s="37" t="str"/>
      <x:c r="S15" s="37" t="str">
        <x:v>Emergency contact</x:v>
      </x:c>
      <x:c r="T15" s="37" t="str">
        <x:v>Signed</x:v>
      </x:c>
      <x:c r="U15" s="37" t="str">
        <x:v>Referral</x:v>
      </x:c>
      <x:c r="V15" s="37" t="str">
        <x:v>Demo client</x:v>
      </x:c>
    </x:row>
    <x:row r="16">
      <x:c r="A16" s="37" t="str">
        <x:v>DEMO</x:v>
      </x:c>
      <x:c r="B16" s="59" t="str">
        <x:f>IF(C16="","","MBR-"&amp;TEXT(ROW()-5,"0000"))</x:f>
        <x:v>MBR-0011</x:v>
      </x:c>
      <x:c r="C16" s="37" t="str">
        <x:v>Puja Tamang</x:v>
      </x:c>
      <x:c r="D16" s="37" t="str">
        <x:v>9800000010</x:v>
      </x:c>
      <x:c r="E16" s="37" t="str">
        <x:v>client11@example.com</x:v>
      </x:c>
      <x:c r="F16" s="42" t="n">
        <x:v>46152</x:v>
      </x:c>
      <x:c r="G16" s="37" t="str">
        <x:v>Main Studio</x:v>
      </x:c>
      <x:c r="H16" s="37" t="str">
        <x:v>Monthly 8</x:v>
      </x:c>
      <x:c r="I16" s="37" t="str">
        <x:v>Active</x:v>
      </x:c>
      <x:c r="J16" s="42" t="n">
        <x:v>46152</x:v>
      </x:c>
      <x:c r="K16" s="42" t="n">
        <x:v>46182</x:v>
      </x:c>
      <x:c r="L16" s="66" t="n">
        <x:v>8</x:v>
      </x:c>
      <x:c r="M16" s="67" t="n">
        <x:f>IF(B16="","",COUNTIFS('04_ATTENDANCE'!$E$6:$E$105,B16,'04_ATTENDANCE'!$M$6:$M$105,1))</x:f>
        <x:v>4</x:v>
      </x:c>
      <x:c r="N16" s="68" t="n">
        <x:f>IF(B16="","",MAX(0,L16-M16))</x:f>
        <x:v>4</x:v>
      </x:c>
      <x:c r="O16" s="67" t="n">
        <x:f>IF(B16="","",SUMIFS('05_SALES_PAYMENTS'!$N$6:$N$105,'05_SALES_PAYMENTS'!$D$6:$D$105,B16))</x:f>
        <x:v>0</x:v>
      </x:c>
      <x:c r="P16" s="37" t="str">
        <x:v>Maya Gurung</x:v>
      </x:c>
      <x:c r="Q16" s="37" t="str">
        <x:v>Mobility</x:v>
      </x:c>
      <x:c r="R16" s="37" t="str"/>
      <x:c r="S16" s="37" t="str">
        <x:v>Emergency contact</x:v>
      </x:c>
      <x:c r="T16" s="37" t="str">
        <x:v>Signed</x:v>
      </x:c>
      <x:c r="U16" s="37" t="str">
        <x:v>Google Maps</x:v>
      </x:c>
      <x:c r="V16" s="37" t="str">
        <x:v>Demo client</x:v>
      </x:c>
    </x:row>
    <x:row r="17">
      <x:c r="A17" s="37" t="str">
        <x:v>DEMO</x:v>
      </x:c>
      <x:c r="B17" s="59" t="str">
        <x:f>IF(C17="","","MBR-"&amp;TEXT(ROW()-5,"0000"))</x:f>
        <x:v>MBR-0012</x:v>
      </x:c>
      <x:c r="C17" s="37" t="str">
        <x:v>Sushma Adhikari</x:v>
      </x:c>
      <x:c r="D17" s="37" t="str">
        <x:v>9800000011</x:v>
      </x:c>
      <x:c r="E17" s="37" t="str">
        <x:v>client12@example.com</x:v>
      </x:c>
      <x:c r="F17" s="42" t="n">
        <x:v>46164</x:v>
      </x:c>
      <x:c r="G17" s="37" t="str">
        <x:v>Main Studio</x:v>
      </x:c>
      <x:c r="H17" s="37" t="str">
        <x:v>Private 5</x:v>
      </x:c>
      <x:c r="I17" s="37" t="str">
        <x:v>Active</x:v>
      </x:c>
      <x:c r="J17" s="42" t="n">
        <x:v>46164</x:v>
      </x:c>
      <x:c r="K17" s="42" t="n">
        <x:v>46194</x:v>
      </x:c>
      <x:c r="L17" s="66" t="n">
        <x:v>5</x:v>
      </x:c>
      <x:c r="M17" s="67" t="n">
        <x:f>IF(B17="","",COUNTIFS('04_ATTENDANCE'!$E$6:$E$105,B17,'04_ATTENDANCE'!$M$6:$M$105,1))</x:f>
        <x:v>1</x:v>
      </x:c>
      <x:c r="N17" s="68" t="n">
        <x:f>IF(B17="","",MAX(0,L17-M17))</x:f>
        <x:v>4</x:v>
      </x:c>
      <x:c r="O17" s="67" t="n">
        <x:f>IF(B17="","",SUMIFS('05_SALES_PAYMENTS'!$N$6:$N$105,'05_SALES_PAYMENTS'!$D$6:$D$105,B17))</x:f>
        <x:v>0</x:v>
      </x:c>
      <x:c r="P17" s="37" t="str">
        <x:v>Maya Gurung</x:v>
      </x:c>
      <x:c r="Q17" s="37" t="str">
        <x:v>Back comfort</x:v>
      </x:c>
      <x:c r="R17" s="37" t="str"/>
      <x:c r="S17" s="37" t="str">
        <x:v>Emergency contact</x:v>
      </x:c>
      <x:c r="T17" s="37" t="str">
        <x:v>Signed</x:v>
      </x:c>
      <x:c r="U17" s="37" t="str">
        <x:v>Walk-in</x:v>
      </x:c>
      <x:c r="V17" s="37" t="str">
        <x:v>Demo client</x:v>
      </x:c>
    </x:row>
    <x:row r="18">
      <x:c r="A18" s="37"/>
      <x:c r="B18" s="59" t="str">
        <x:f>IF(C18="","","MBR-"&amp;TEXT(ROW()-5,"0000"))</x:f>
      </x:c>
      <x:c r="C18" s="37"/>
      <x:c r="D18" s="37"/>
      <x:c r="E18" s="37"/>
      <x:c r="F18" s="42"/>
      <x:c r="G18" s="37"/>
      <x:c r="H18" s="37"/>
      <x:c r="I18" s="37"/>
      <x:c r="J18" s="42"/>
      <x:c r="K18" s="42"/>
      <x:c r="L18" s="66"/>
      <x:c r="M18" s="67" t="str">
        <x:f>IF(B18="","",COUNTIFS('04_ATTENDANCE'!$E$6:$E$105,B18,'04_ATTENDANCE'!$M$6:$M$105,1))</x:f>
      </x:c>
      <x:c r="N18" s="68" t="str">
        <x:f>IF(B18="","",MAX(0,L18-M18))</x:f>
      </x:c>
      <x:c r="O18" s="67" t="str">
        <x:f>IF(B18="","",SUMIFS('05_SALES_PAYMENTS'!$N$6:$N$105,'05_SALES_PAYMENTS'!$D$6:$D$105,B18))</x:f>
      </x:c>
      <x:c r="P18" s="37"/>
      <x:c r="Q18" s="37"/>
      <x:c r="R18" s="37"/>
      <x:c r="S18" s="37"/>
      <x:c r="T18" s="37"/>
      <x:c r="U18" s="37"/>
      <x:c r="V18" s="37"/>
    </x:row>
    <x:row r="19">
      <x:c r="A19" s="37"/>
      <x:c r="B19" s="59" t="str">
        <x:f>IF(C19="","","MBR-"&amp;TEXT(ROW()-5,"0000"))</x:f>
      </x:c>
      <x:c r="C19" s="37"/>
      <x:c r="D19" s="37"/>
      <x:c r="E19" s="37"/>
      <x:c r="F19" s="42"/>
      <x:c r="G19" s="37"/>
      <x:c r="H19" s="37"/>
      <x:c r="I19" s="37"/>
      <x:c r="J19" s="42"/>
      <x:c r="K19" s="42"/>
      <x:c r="L19" s="66"/>
      <x:c r="M19" s="67" t="str">
        <x:f>IF(B19="","",COUNTIFS('04_ATTENDANCE'!$E$6:$E$105,B19,'04_ATTENDANCE'!$M$6:$M$105,1))</x:f>
      </x:c>
      <x:c r="N19" s="68" t="str">
        <x:f>IF(B19="","",MAX(0,L19-M19))</x:f>
      </x:c>
      <x:c r="O19" s="67" t="str">
        <x:f>IF(B19="","",SUMIFS('05_SALES_PAYMENTS'!$N$6:$N$105,'05_SALES_PAYMENTS'!$D$6:$D$105,B19))</x:f>
      </x:c>
      <x:c r="P19" s="37"/>
      <x:c r="Q19" s="37"/>
      <x:c r="R19" s="37"/>
      <x:c r="S19" s="37"/>
      <x:c r="T19" s="37"/>
      <x:c r="U19" s="37"/>
      <x:c r="V19" s="37"/>
    </x:row>
    <x:row r="20">
      <x:c r="A20" s="37"/>
      <x:c r="B20" s="59" t="str">
        <x:f>IF(C20="","","MBR-"&amp;TEXT(ROW()-5,"0000"))</x:f>
      </x:c>
      <x:c r="C20" s="37"/>
      <x:c r="D20" s="37"/>
      <x:c r="E20" s="37"/>
      <x:c r="F20" s="42"/>
      <x:c r="G20" s="37"/>
      <x:c r="H20" s="37"/>
      <x:c r="I20" s="37"/>
      <x:c r="J20" s="42"/>
      <x:c r="K20" s="42"/>
      <x:c r="L20" s="66"/>
      <x:c r="M20" s="67" t="str">
        <x:f>IF(B20="","",COUNTIFS('04_ATTENDANCE'!$E$6:$E$105,B20,'04_ATTENDANCE'!$M$6:$M$105,1))</x:f>
      </x:c>
      <x:c r="N20" s="68" t="str">
        <x:f>IF(B20="","",MAX(0,L20-M20))</x:f>
      </x:c>
      <x:c r="O20" s="67" t="str">
        <x:f>IF(B20="","",SUMIFS('05_SALES_PAYMENTS'!$N$6:$N$105,'05_SALES_PAYMENTS'!$D$6:$D$105,B20))</x:f>
      </x:c>
      <x:c r="P20" s="37"/>
      <x:c r="Q20" s="37"/>
      <x:c r="R20" s="37"/>
      <x:c r="S20" s="37"/>
      <x:c r="T20" s="37"/>
      <x:c r="U20" s="37"/>
      <x:c r="V20" s="37"/>
    </x:row>
    <x:row r="21">
      <x:c r="A21" s="37"/>
      <x:c r="B21" s="59" t="str">
        <x:f>IF(C21="","","MBR-"&amp;TEXT(ROW()-5,"0000"))</x:f>
      </x:c>
      <x:c r="C21" s="37"/>
      <x:c r="D21" s="37"/>
      <x:c r="E21" s="37"/>
      <x:c r="F21" s="42"/>
      <x:c r="G21" s="37"/>
      <x:c r="H21" s="37"/>
      <x:c r="I21" s="37"/>
      <x:c r="J21" s="42"/>
      <x:c r="K21" s="42"/>
      <x:c r="L21" s="66"/>
      <x:c r="M21" s="67" t="str">
        <x:f>IF(B21="","",COUNTIFS('04_ATTENDANCE'!$E$6:$E$105,B21,'04_ATTENDANCE'!$M$6:$M$105,1))</x:f>
      </x:c>
      <x:c r="N21" s="68" t="str">
        <x:f>IF(B21="","",MAX(0,L21-M21))</x:f>
      </x:c>
      <x:c r="O21" s="67" t="str">
        <x:f>IF(B21="","",SUMIFS('05_SALES_PAYMENTS'!$N$6:$N$105,'05_SALES_PAYMENTS'!$D$6:$D$105,B21))</x:f>
      </x:c>
      <x:c r="P21" s="37"/>
      <x:c r="Q21" s="37"/>
      <x:c r="R21" s="37"/>
      <x:c r="S21" s="37"/>
      <x:c r="T21" s="37"/>
      <x:c r="U21" s="37"/>
      <x:c r="V21" s="37"/>
    </x:row>
    <x:row r="22">
      <x:c r="A22" s="37"/>
      <x:c r="B22" s="59" t="str">
        <x:f>IF(C22="","","MBR-"&amp;TEXT(ROW()-5,"0000"))</x:f>
      </x:c>
      <x:c r="C22" s="37"/>
      <x:c r="D22" s="37"/>
      <x:c r="E22" s="37"/>
      <x:c r="F22" s="42"/>
      <x:c r="G22" s="37"/>
      <x:c r="H22" s="37"/>
      <x:c r="I22" s="37"/>
      <x:c r="J22" s="42"/>
      <x:c r="K22" s="42"/>
      <x:c r="L22" s="66"/>
      <x:c r="M22" s="67" t="str">
        <x:f>IF(B22="","",COUNTIFS('04_ATTENDANCE'!$E$6:$E$105,B22,'04_ATTENDANCE'!$M$6:$M$105,1))</x:f>
      </x:c>
      <x:c r="N22" s="68" t="str">
        <x:f>IF(B22="","",MAX(0,L22-M22))</x:f>
      </x:c>
      <x:c r="O22" s="67" t="str">
        <x:f>IF(B22="","",SUMIFS('05_SALES_PAYMENTS'!$N$6:$N$105,'05_SALES_PAYMENTS'!$D$6:$D$105,B22))</x:f>
      </x:c>
      <x:c r="P22" s="37"/>
      <x:c r="Q22" s="37"/>
      <x:c r="R22" s="37"/>
      <x:c r="S22" s="37"/>
      <x:c r="T22" s="37"/>
      <x:c r="U22" s="37"/>
      <x:c r="V22" s="37"/>
    </x:row>
    <x:row r="23">
      <x:c r="A23" s="37"/>
      <x:c r="B23" s="59" t="str">
        <x:f>IF(C23="","","MBR-"&amp;TEXT(ROW()-5,"0000"))</x:f>
      </x:c>
      <x:c r="C23" s="37"/>
      <x:c r="D23" s="37"/>
      <x:c r="E23" s="37"/>
      <x:c r="F23" s="42"/>
      <x:c r="G23" s="37"/>
      <x:c r="H23" s="37"/>
      <x:c r="I23" s="37"/>
      <x:c r="J23" s="42"/>
      <x:c r="K23" s="42"/>
      <x:c r="L23" s="66"/>
      <x:c r="M23" s="67" t="str">
        <x:f>IF(B23="","",COUNTIFS('04_ATTENDANCE'!$E$6:$E$105,B23,'04_ATTENDANCE'!$M$6:$M$105,1))</x:f>
      </x:c>
      <x:c r="N23" s="68" t="str">
        <x:f>IF(B23="","",MAX(0,L23-M23))</x:f>
      </x:c>
      <x:c r="O23" s="67" t="str">
        <x:f>IF(B23="","",SUMIFS('05_SALES_PAYMENTS'!$N$6:$N$105,'05_SALES_PAYMENTS'!$D$6:$D$105,B23))</x:f>
      </x:c>
      <x:c r="P23" s="37"/>
      <x:c r="Q23" s="37"/>
      <x:c r="R23" s="37"/>
      <x:c r="S23" s="37"/>
      <x:c r="T23" s="37"/>
      <x:c r="U23" s="37"/>
      <x:c r="V23" s="37"/>
    </x:row>
    <x:row r="24">
      <x:c r="A24" s="37"/>
      <x:c r="B24" s="59" t="str">
        <x:f>IF(C24="","","MBR-"&amp;TEXT(ROW()-5,"0000"))</x:f>
      </x:c>
      <x:c r="C24" s="37"/>
      <x:c r="D24" s="37"/>
      <x:c r="E24" s="37"/>
      <x:c r="F24" s="42"/>
      <x:c r="G24" s="37"/>
      <x:c r="H24" s="37"/>
      <x:c r="I24" s="37"/>
      <x:c r="J24" s="42"/>
      <x:c r="K24" s="42"/>
      <x:c r="L24" s="66"/>
      <x:c r="M24" s="67" t="str">
        <x:f>IF(B24="","",COUNTIFS('04_ATTENDANCE'!$E$6:$E$105,B24,'04_ATTENDANCE'!$M$6:$M$105,1))</x:f>
      </x:c>
      <x:c r="N24" s="68" t="str">
        <x:f>IF(B24="","",MAX(0,L24-M24))</x:f>
      </x:c>
      <x:c r="O24" s="67" t="str">
        <x:f>IF(B24="","",SUMIFS('05_SALES_PAYMENTS'!$N$6:$N$105,'05_SALES_PAYMENTS'!$D$6:$D$105,B24))</x:f>
      </x:c>
      <x:c r="P24" s="37"/>
      <x:c r="Q24" s="37"/>
      <x:c r="R24" s="37"/>
      <x:c r="S24" s="37"/>
      <x:c r="T24" s="37"/>
      <x:c r="U24" s="37"/>
      <x:c r="V24" s="37"/>
    </x:row>
    <x:row r="25">
      <x:c r="A25" s="37"/>
      <x:c r="B25" s="59" t="str">
        <x:f>IF(C25="","","MBR-"&amp;TEXT(ROW()-5,"0000"))</x:f>
      </x:c>
      <x:c r="C25" s="37"/>
      <x:c r="D25" s="37"/>
      <x:c r="E25" s="37"/>
      <x:c r="F25" s="42"/>
      <x:c r="G25" s="37"/>
      <x:c r="H25" s="37"/>
      <x:c r="I25" s="37"/>
      <x:c r="J25" s="42"/>
      <x:c r="K25" s="42"/>
      <x:c r="L25" s="66"/>
      <x:c r="M25" s="67" t="str">
        <x:f>IF(B25="","",COUNTIFS('04_ATTENDANCE'!$E$6:$E$105,B25,'04_ATTENDANCE'!$M$6:$M$105,1))</x:f>
      </x:c>
      <x:c r="N25" s="68" t="str">
        <x:f>IF(B25="","",MAX(0,L25-M25))</x:f>
      </x:c>
      <x:c r="O25" s="67" t="str">
        <x:f>IF(B25="","",SUMIFS('05_SALES_PAYMENTS'!$N$6:$N$105,'05_SALES_PAYMENTS'!$D$6:$D$105,B25))</x:f>
      </x:c>
      <x:c r="P25" s="37"/>
      <x:c r="Q25" s="37"/>
      <x:c r="R25" s="37"/>
      <x:c r="S25" s="37"/>
      <x:c r="T25" s="37"/>
      <x:c r="U25" s="37"/>
      <x:c r="V25" s="37"/>
    </x:row>
    <x:row r="26">
      <x:c r="A26" s="37"/>
      <x:c r="B26" s="59" t="str">
        <x:f>IF(C26="","","MBR-"&amp;TEXT(ROW()-5,"0000"))</x:f>
      </x:c>
      <x:c r="C26" s="37"/>
      <x:c r="D26" s="37"/>
      <x:c r="E26" s="37"/>
      <x:c r="F26" s="42"/>
      <x:c r="G26" s="37"/>
      <x:c r="H26" s="37"/>
      <x:c r="I26" s="37"/>
      <x:c r="J26" s="42"/>
      <x:c r="K26" s="42"/>
      <x:c r="L26" s="66"/>
      <x:c r="M26" s="67" t="str">
        <x:f>IF(B26="","",COUNTIFS('04_ATTENDANCE'!$E$6:$E$105,B26,'04_ATTENDANCE'!$M$6:$M$105,1))</x:f>
      </x:c>
      <x:c r="N26" s="68" t="str">
        <x:f>IF(B26="","",MAX(0,L26-M26))</x:f>
      </x:c>
      <x:c r="O26" s="67" t="str">
        <x:f>IF(B26="","",SUMIFS('05_SALES_PAYMENTS'!$N$6:$N$105,'05_SALES_PAYMENTS'!$D$6:$D$105,B26))</x:f>
      </x:c>
      <x:c r="P26" s="37"/>
      <x:c r="Q26" s="37"/>
      <x:c r="R26" s="37"/>
      <x:c r="S26" s="37"/>
      <x:c r="T26" s="37"/>
      <x:c r="U26" s="37"/>
      <x:c r="V26" s="37"/>
    </x:row>
    <x:row r="27">
      <x:c r="A27" s="37"/>
      <x:c r="B27" s="59" t="str">
        <x:f>IF(C27="","","MBR-"&amp;TEXT(ROW()-5,"0000"))</x:f>
      </x:c>
      <x:c r="C27" s="37"/>
      <x:c r="D27" s="37"/>
      <x:c r="E27" s="37"/>
      <x:c r="F27" s="42"/>
      <x:c r="G27" s="37"/>
      <x:c r="H27" s="37"/>
      <x:c r="I27" s="37"/>
      <x:c r="J27" s="42"/>
      <x:c r="K27" s="42"/>
      <x:c r="L27" s="66"/>
      <x:c r="M27" s="67" t="str">
        <x:f>IF(B27="","",COUNTIFS('04_ATTENDANCE'!$E$6:$E$105,B27,'04_ATTENDANCE'!$M$6:$M$105,1))</x:f>
      </x:c>
      <x:c r="N27" s="68" t="str">
        <x:f>IF(B27="","",MAX(0,L27-M27))</x:f>
      </x:c>
      <x:c r="O27" s="67" t="str">
        <x:f>IF(B27="","",SUMIFS('05_SALES_PAYMENTS'!$N$6:$N$105,'05_SALES_PAYMENTS'!$D$6:$D$105,B27))</x:f>
      </x:c>
      <x:c r="P27" s="37"/>
      <x:c r="Q27" s="37"/>
      <x:c r="R27" s="37"/>
      <x:c r="S27" s="37"/>
      <x:c r="T27" s="37"/>
      <x:c r="U27" s="37"/>
      <x:c r="V27" s="37"/>
    </x:row>
    <x:row r="28">
      <x:c r="A28" s="37"/>
      <x:c r="B28" s="59" t="str">
        <x:f>IF(C28="","","MBR-"&amp;TEXT(ROW()-5,"0000"))</x:f>
      </x:c>
      <x:c r="C28" s="37"/>
      <x:c r="D28" s="37"/>
      <x:c r="E28" s="37"/>
      <x:c r="F28" s="42"/>
      <x:c r="G28" s="37"/>
      <x:c r="H28" s="37"/>
      <x:c r="I28" s="37"/>
      <x:c r="J28" s="42"/>
      <x:c r="K28" s="42"/>
      <x:c r="L28" s="66"/>
      <x:c r="M28" s="67" t="str">
        <x:f>IF(B28="","",COUNTIFS('04_ATTENDANCE'!$E$6:$E$105,B28,'04_ATTENDANCE'!$M$6:$M$105,1))</x:f>
      </x:c>
      <x:c r="N28" s="68" t="str">
        <x:f>IF(B28="","",MAX(0,L28-M28))</x:f>
      </x:c>
      <x:c r="O28" s="67" t="str">
        <x:f>IF(B28="","",SUMIFS('05_SALES_PAYMENTS'!$N$6:$N$105,'05_SALES_PAYMENTS'!$D$6:$D$105,B28))</x:f>
      </x:c>
      <x:c r="P28" s="37"/>
      <x:c r="Q28" s="37"/>
      <x:c r="R28" s="37"/>
      <x:c r="S28" s="37"/>
      <x:c r="T28" s="37"/>
      <x:c r="U28" s="37"/>
      <x:c r="V28" s="37"/>
    </x:row>
    <x:row r="29">
      <x:c r="A29" s="37"/>
      <x:c r="B29" s="59" t="str">
        <x:f>IF(C29="","","MBR-"&amp;TEXT(ROW()-5,"0000"))</x:f>
      </x:c>
      <x:c r="C29" s="37"/>
      <x:c r="D29" s="37"/>
      <x:c r="E29" s="37"/>
      <x:c r="F29" s="42"/>
      <x:c r="G29" s="37"/>
      <x:c r="H29" s="37"/>
      <x:c r="I29" s="37"/>
      <x:c r="J29" s="42"/>
      <x:c r="K29" s="42"/>
      <x:c r="L29" s="66"/>
      <x:c r="M29" s="67" t="str">
        <x:f>IF(B29="","",COUNTIFS('04_ATTENDANCE'!$E$6:$E$105,B29,'04_ATTENDANCE'!$M$6:$M$105,1))</x:f>
      </x:c>
      <x:c r="N29" s="68" t="str">
        <x:f>IF(B29="","",MAX(0,L29-M29))</x:f>
      </x:c>
      <x:c r="O29" s="67" t="str">
        <x:f>IF(B29="","",SUMIFS('05_SALES_PAYMENTS'!$N$6:$N$105,'05_SALES_PAYMENTS'!$D$6:$D$105,B29))</x:f>
      </x:c>
      <x:c r="P29" s="37"/>
      <x:c r="Q29" s="37"/>
      <x:c r="R29" s="37"/>
      <x:c r="S29" s="37"/>
      <x:c r="T29" s="37"/>
      <x:c r="U29" s="37"/>
      <x:c r="V29" s="37"/>
    </x:row>
    <x:row r="30">
      <x:c r="A30" s="37"/>
      <x:c r="B30" s="59" t="str">
        <x:f>IF(C30="","","MBR-"&amp;TEXT(ROW()-5,"0000"))</x:f>
      </x:c>
      <x:c r="C30" s="37"/>
      <x:c r="D30" s="37"/>
      <x:c r="E30" s="37"/>
      <x:c r="F30" s="42"/>
      <x:c r="G30" s="37"/>
      <x:c r="H30" s="37"/>
      <x:c r="I30" s="37"/>
      <x:c r="J30" s="42"/>
      <x:c r="K30" s="42"/>
      <x:c r="L30" s="66"/>
      <x:c r="M30" s="67" t="str">
        <x:f>IF(B30="","",COUNTIFS('04_ATTENDANCE'!$E$6:$E$105,B30,'04_ATTENDANCE'!$M$6:$M$105,1))</x:f>
      </x:c>
      <x:c r="N30" s="68" t="str">
        <x:f>IF(B30="","",MAX(0,L30-M30))</x:f>
      </x:c>
      <x:c r="O30" s="67" t="str">
        <x:f>IF(B30="","",SUMIFS('05_SALES_PAYMENTS'!$N$6:$N$105,'05_SALES_PAYMENTS'!$D$6:$D$105,B30))</x:f>
      </x:c>
      <x:c r="P30" s="37"/>
      <x:c r="Q30" s="37"/>
      <x:c r="R30" s="37"/>
      <x:c r="S30" s="37"/>
      <x:c r="T30" s="37"/>
      <x:c r="U30" s="37"/>
      <x:c r="V30" s="37"/>
    </x:row>
    <x:row r="31">
      <x:c r="A31" s="37"/>
      <x:c r="B31" s="59" t="str">
        <x:f>IF(C31="","","MBR-"&amp;TEXT(ROW()-5,"0000"))</x:f>
      </x:c>
      <x:c r="C31" s="37"/>
      <x:c r="D31" s="37"/>
      <x:c r="E31" s="37"/>
      <x:c r="F31" s="42"/>
      <x:c r="G31" s="37"/>
      <x:c r="H31" s="37"/>
      <x:c r="I31" s="37"/>
      <x:c r="J31" s="42"/>
      <x:c r="K31" s="42"/>
      <x:c r="L31" s="66"/>
      <x:c r="M31" s="67" t="str">
        <x:f>IF(B31="","",COUNTIFS('04_ATTENDANCE'!$E$6:$E$105,B31,'04_ATTENDANCE'!$M$6:$M$105,1))</x:f>
      </x:c>
      <x:c r="N31" s="68" t="str">
        <x:f>IF(B31="","",MAX(0,L31-M31))</x:f>
      </x:c>
      <x:c r="O31" s="67" t="str">
        <x:f>IF(B31="","",SUMIFS('05_SALES_PAYMENTS'!$N$6:$N$105,'05_SALES_PAYMENTS'!$D$6:$D$105,B31))</x:f>
      </x:c>
      <x:c r="P31" s="37"/>
      <x:c r="Q31" s="37"/>
      <x:c r="R31" s="37"/>
      <x:c r="S31" s="37"/>
      <x:c r="T31" s="37"/>
      <x:c r="U31" s="37"/>
      <x:c r="V31" s="37"/>
    </x:row>
    <x:row r="32">
      <x:c r="A32" s="37"/>
      <x:c r="B32" s="59" t="str">
        <x:f>IF(C32="","","MBR-"&amp;TEXT(ROW()-5,"0000"))</x:f>
      </x:c>
      <x:c r="C32" s="37"/>
      <x:c r="D32" s="37"/>
      <x:c r="E32" s="37"/>
      <x:c r="F32" s="42"/>
      <x:c r="G32" s="37"/>
      <x:c r="H32" s="37"/>
      <x:c r="I32" s="37"/>
      <x:c r="J32" s="42"/>
      <x:c r="K32" s="42"/>
      <x:c r="L32" s="66"/>
      <x:c r="M32" s="67" t="str">
        <x:f>IF(B32="","",COUNTIFS('04_ATTENDANCE'!$E$6:$E$105,B32,'04_ATTENDANCE'!$M$6:$M$105,1))</x:f>
      </x:c>
      <x:c r="N32" s="68" t="str">
        <x:f>IF(B32="","",MAX(0,L32-M32))</x:f>
      </x:c>
      <x:c r="O32" s="67" t="str">
        <x:f>IF(B32="","",SUMIFS('05_SALES_PAYMENTS'!$N$6:$N$105,'05_SALES_PAYMENTS'!$D$6:$D$105,B32))</x:f>
      </x:c>
      <x:c r="P32" s="37"/>
      <x:c r="Q32" s="37"/>
      <x:c r="R32" s="37"/>
      <x:c r="S32" s="37"/>
      <x:c r="T32" s="37"/>
      <x:c r="U32" s="37"/>
      <x:c r="V32" s="37"/>
    </x:row>
    <x:row r="33">
      <x:c r="A33" s="37"/>
      <x:c r="B33" s="59" t="str">
        <x:f>IF(C33="","","MBR-"&amp;TEXT(ROW()-5,"0000"))</x:f>
      </x:c>
      <x:c r="C33" s="37"/>
      <x:c r="D33" s="37"/>
      <x:c r="E33" s="37"/>
      <x:c r="F33" s="42"/>
      <x:c r="G33" s="37"/>
      <x:c r="H33" s="37"/>
      <x:c r="I33" s="37"/>
      <x:c r="J33" s="42"/>
      <x:c r="K33" s="42"/>
      <x:c r="L33" s="66"/>
      <x:c r="M33" s="67" t="str">
        <x:f>IF(B33="","",COUNTIFS('04_ATTENDANCE'!$E$6:$E$105,B33,'04_ATTENDANCE'!$M$6:$M$105,1))</x:f>
      </x:c>
      <x:c r="N33" s="68" t="str">
        <x:f>IF(B33="","",MAX(0,L33-M33))</x:f>
      </x:c>
      <x:c r="O33" s="67" t="str">
        <x:f>IF(B33="","",SUMIFS('05_SALES_PAYMENTS'!$N$6:$N$105,'05_SALES_PAYMENTS'!$D$6:$D$105,B33))</x:f>
      </x:c>
      <x:c r="P33" s="37"/>
      <x:c r="Q33" s="37"/>
      <x:c r="R33" s="37"/>
      <x:c r="S33" s="37"/>
      <x:c r="T33" s="37"/>
      <x:c r="U33" s="37"/>
      <x:c r="V33" s="37"/>
    </x:row>
    <x:row r="34">
      <x:c r="A34" s="37"/>
      <x:c r="B34" s="59" t="str">
        <x:f>IF(C34="","","MBR-"&amp;TEXT(ROW()-5,"0000"))</x:f>
      </x:c>
      <x:c r="C34" s="37"/>
      <x:c r="D34" s="37"/>
      <x:c r="E34" s="37"/>
      <x:c r="F34" s="42"/>
      <x:c r="G34" s="37"/>
      <x:c r="H34" s="37"/>
      <x:c r="I34" s="37"/>
      <x:c r="J34" s="42"/>
      <x:c r="K34" s="42"/>
      <x:c r="L34" s="66"/>
      <x:c r="M34" s="67" t="str">
        <x:f>IF(B34="","",COUNTIFS('04_ATTENDANCE'!$E$6:$E$105,B34,'04_ATTENDANCE'!$M$6:$M$105,1))</x:f>
      </x:c>
      <x:c r="N34" s="68" t="str">
        <x:f>IF(B34="","",MAX(0,L34-M34))</x:f>
      </x:c>
      <x:c r="O34" s="67" t="str">
        <x:f>IF(B34="","",SUMIFS('05_SALES_PAYMENTS'!$N$6:$N$105,'05_SALES_PAYMENTS'!$D$6:$D$105,B34))</x:f>
      </x:c>
      <x:c r="P34" s="37"/>
      <x:c r="Q34" s="37"/>
      <x:c r="R34" s="37"/>
      <x:c r="S34" s="37"/>
      <x:c r="T34" s="37"/>
      <x:c r="U34" s="37"/>
      <x:c r="V34" s="37"/>
    </x:row>
    <x:row r="35">
      <x:c r="A35" s="37"/>
      <x:c r="B35" s="59" t="str">
        <x:f>IF(C35="","","MBR-"&amp;TEXT(ROW()-5,"0000"))</x:f>
      </x:c>
      <x:c r="C35" s="37"/>
      <x:c r="D35" s="37"/>
      <x:c r="E35" s="37"/>
      <x:c r="F35" s="42"/>
      <x:c r="G35" s="37"/>
      <x:c r="H35" s="37"/>
      <x:c r="I35" s="37"/>
      <x:c r="J35" s="42"/>
      <x:c r="K35" s="42"/>
      <x:c r="L35" s="66"/>
      <x:c r="M35" s="67" t="str">
        <x:f>IF(B35="","",COUNTIFS('04_ATTENDANCE'!$E$6:$E$105,B35,'04_ATTENDANCE'!$M$6:$M$105,1))</x:f>
      </x:c>
      <x:c r="N35" s="68" t="str">
        <x:f>IF(B35="","",MAX(0,L35-M35))</x:f>
      </x:c>
      <x:c r="O35" s="67" t="str">
        <x:f>IF(B35="","",SUMIFS('05_SALES_PAYMENTS'!$N$6:$N$105,'05_SALES_PAYMENTS'!$D$6:$D$105,B35))</x:f>
      </x:c>
      <x:c r="P35" s="37"/>
      <x:c r="Q35" s="37"/>
      <x:c r="R35" s="37"/>
      <x:c r="S35" s="37"/>
      <x:c r="T35" s="37"/>
      <x:c r="U35" s="37"/>
      <x:c r="V35" s="37"/>
    </x:row>
    <x:row r="36">
      <x:c r="A36" s="37"/>
      <x:c r="B36" s="59" t="str">
        <x:f>IF(C36="","","MBR-"&amp;TEXT(ROW()-5,"0000"))</x:f>
      </x:c>
      <x:c r="C36" s="37"/>
      <x:c r="D36" s="37"/>
      <x:c r="E36" s="37"/>
      <x:c r="F36" s="42"/>
      <x:c r="G36" s="37"/>
      <x:c r="H36" s="37"/>
      <x:c r="I36" s="37"/>
      <x:c r="J36" s="42"/>
      <x:c r="K36" s="42"/>
      <x:c r="L36" s="66"/>
      <x:c r="M36" s="67" t="str">
        <x:f>IF(B36="","",COUNTIFS('04_ATTENDANCE'!$E$6:$E$105,B36,'04_ATTENDANCE'!$M$6:$M$105,1))</x:f>
      </x:c>
      <x:c r="N36" s="68" t="str">
        <x:f>IF(B36="","",MAX(0,L36-M36))</x:f>
      </x:c>
      <x:c r="O36" s="67" t="str">
        <x:f>IF(B36="","",SUMIFS('05_SALES_PAYMENTS'!$N$6:$N$105,'05_SALES_PAYMENTS'!$D$6:$D$105,B36))</x:f>
      </x:c>
      <x:c r="P36" s="37"/>
      <x:c r="Q36" s="37"/>
      <x:c r="R36" s="37"/>
      <x:c r="S36" s="37"/>
      <x:c r="T36" s="37"/>
      <x:c r="U36" s="37"/>
      <x:c r="V36" s="37"/>
    </x:row>
    <x:row r="37">
      <x:c r="A37" s="37"/>
      <x:c r="B37" s="59" t="str">
        <x:f>IF(C37="","","MBR-"&amp;TEXT(ROW()-5,"0000"))</x:f>
      </x:c>
      <x:c r="C37" s="37"/>
      <x:c r="D37" s="37"/>
      <x:c r="E37" s="37"/>
      <x:c r="F37" s="42"/>
      <x:c r="G37" s="37"/>
      <x:c r="H37" s="37"/>
      <x:c r="I37" s="37"/>
      <x:c r="J37" s="42"/>
      <x:c r="K37" s="42"/>
      <x:c r="L37" s="66"/>
      <x:c r="M37" s="67" t="str">
        <x:f>IF(B37="","",COUNTIFS('04_ATTENDANCE'!$E$6:$E$105,B37,'04_ATTENDANCE'!$M$6:$M$105,1))</x:f>
      </x:c>
      <x:c r="N37" s="68" t="str">
        <x:f>IF(B37="","",MAX(0,L37-M37))</x:f>
      </x:c>
      <x:c r="O37" s="67" t="str">
        <x:f>IF(B37="","",SUMIFS('05_SALES_PAYMENTS'!$N$6:$N$105,'05_SALES_PAYMENTS'!$D$6:$D$105,B37))</x:f>
      </x:c>
      <x:c r="P37" s="37"/>
      <x:c r="Q37" s="37"/>
      <x:c r="R37" s="37"/>
      <x:c r="S37" s="37"/>
      <x:c r="T37" s="37"/>
      <x:c r="U37" s="37"/>
      <x:c r="V37" s="37"/>
    </x:row>
    <x:row r="38">
      <x:c r="A38" s="37"/>
      <x:c r="B38" s="59" t="str">
        <x:f>IF(C38="","","MBR-"&amp;TEXT(ROW()-5,"0000"))</x:f>
      </x:c>
      <x:c r="C38" s="37"/>
      <x:c r="D38" s="37"/>
      <x:c r="E38" s="37"/>
      <x:c r="F38" s="42"/>
      <x:c r="G38" s="37"/>
      <x:c r="H38" s="37"/>
      <x:c r="I38" s="37"/>
      <x:c r="J38" s="42"/>
      <x:c r="K38" s="42"/>
      <x:c r="L38" s="66"/>
      <x:c r="M38" s="67" t="str">
        <x:f>IF(B38="","",COUNTIFS('04_ATTENDANCE'!$E$6:$E$105,B38,'04_ATTENDANCE'!$M$6:$M$105,1))</x:f>
      </x:c>
      <x:c r="N38" s="68" t="str">
        <x:f>IF(B38="","",MAX(0,L38-M38))</x:f>
      </x:c>
      <x:c r="O38" s="67" t="str">
        <x:f>IF(B38="","",SUMIFS('05_SALES_PAYMENTS'!$N$6:$N$105,'05_SALES_PAYMENTS'!$D$6:$D$105,B38))</x:f>
      </x:c>
      <x:c r="P38" s="37"/>
      <x:c r="Q38" s="37"/>
      <x:c r="R38" s="37"/>
      <x:c r="S38" s="37"/>
      <x:c r="T38" s="37"/>
      <x:c r="U38" s="37"/>
      <x:c r="V38" s="37"/>
    </x:row>
    <x:row r="39">
      <x:c r="A39" s="37"/>
      <x:c r="B39" s="59" t="str">
        <x:f>IF(C39="","","MBR-"&amp;TEXT(ROW()-5,"0000"))</x:f>
      </x:c>
      <x:c r="C39" s="37"/>
      <x:c r="D39" s="37"/>
      <x:c r="E39" s="37"/>
      <x:c r="F39" s="42"/>
      <x:c r="G39" s="37"/>
      <x:c r="H39" s="37"/>
      <x:c r="I39" s="37"/>
      <x:c r="J39" s="42"/>
      <x:c r="K39" s="42"/>
      <x:c r="L39" s="66"/>
      <x:c r="M39" s="67" t="str">
        <x:f>IF(B39="","",COUNTIFS('04_ATTENDANCE'!$E$6:$E$105,B39,'04_ATTENDANCE'!$M$6:$M$105,1))</x:f>
      </x:c>
      <x:c r="N39" s="68" t="str">
        <x:f>IF(B39="","",MAX(0,L39-M39))</x:f>
      </x:c>
      <x:c r="O39" s="67" t="str">
        <x:f>IF(B39="","",SUMIFS('05_SALES_PAYMENTS'!$N$6:$N$105,'05_SALES_PAYMENTS'!$D$6:$D$105,B39))</x:f>
      </x:c>
      <x:c r="P39" s="37"/>
      <x:c r="Q39" s="37"/>
      <x:c r="R39" s="37"/>
      <x:c r="S39" s="37"/>
      <x:c r="T39" s="37"/>
      <x:c r="U39" s="37"/>
      <x:c r="V39" s="37"/>
    </x:row>
    <x:row r="40">
      <x:c r="A40" s="37"/>
      <x:c r="B40" s="59" t="str">
        <x:f>IF(C40="","","MBR-"&amp;TEXT(ROW()-5,"0000"))</x:f>
      </x:c>
      <x:c r="C40" s="37"/>
      <x:c r="D40" s="37"/>
      <x:c r="E40" s="37"/>
      <x:c r="F40" s="42"/>
      <x:c r="G40" s="37"/>
      <x:c r="H40" s="37"/>
      <x:c r="I40" s="37"/>
      <x:c r="J40" s="42"/>
      <x:c r="K40" s="42"/>
      <x:c r="L40" s="66"/>
      <x:c r="M40" s="67" t="str">
        <x:f>IF(B40="","",COUNTIFS('04_ATTENDANCE'!$E$6:$E$105,B40,'04_ATTENDANCE'!$M$6:$M$105,1))</x:f>
      </x:c>
      <x:c r="N40" s="68" t="str">
        <x:f>IF(B40="","",MAX(0,L40-M40))</x:f>
      </x:c>
      <x:c r="O40" s="67" t="str">
        <x:f>IF(B40="","",SUMIFS('05_SALES_PAYMENTS'!$N$6:$N$105,'05_SALES_PAYMENTS'!$D$6:$D$105,B40))</x:f>
      </x:c>
      <x:c r="P40" s="37"/>
      <x:c r="Q40" s="37"/>
      <x:c r="R40" s="37"/>
      <x:c r="S40" s="37"/>
      <x:c r="T40" s="37"/>
      <x:c r="U40" s="37"/>
      <x:c r="V40" s="37"/>
    </x:row>
    <x:row r="41">
      <x:c r="A41" s="37"/>
      <x:c r="B41" s="59" t="str">
        <x:f>IF(C41="","","MBR-"&amp;TEXT(ROW()-5,"0000"))</x:f>
      </x:c>
      <x:c r="C41" s="37"/>
      <x:c r="D41" s="37"/>
      <x:c r="E41" s="37"/>
      <x:c r="F41" s="42"/>
      <x:c r="G41" s="37"/>
      <x:c r="H41" s="37"/>
      <x:c r="I41" s="37"/>
      <x:c r="J41" s="42"/>
      <x:c r="K41" s="42"/>
      <x:c r="L41" s="66"/>
      <x:c r="M41" s="67" t="str">
        <x:f>IF(B41="","",COUNTIFS('04_ATTENDANCE'!$E$6:$E$105,B41,'04_ATTENDANCE'!$M$6:$M$105,1))</x:f>
      </x:c>
      <x:c r="N41" s="68" t="str">
        <x:f>IF(B41="","",MAX(0,L41-M41))</x:f>
      </x:c>
      <x:c r="O41" s="67" t="str">
        <x:f>IF(B41="","",SUMIFS('05_SALES_PAYMENTS'!$N$6:$N$105,'05_SALES_PAYMENTS'!$D$6:$D$105,B41))</x:f>
      </x:c>
      <x:c r="P41" s="37"/>
      <x:c r="Q41" s="37"/>
      <x:c r="R41" s="37"/>
      <x:c r="S41" s="37"/>
      <x:c r="T41" s="37"/>
      <x:c r="U41" s="37"/>
      <x:c r="V41" s="37"/>
    </x:row>
    <x:row r="42">
      <x:c r="A42" s="37"/>
      <x:c r="B42" s="59" t="str">
        <x:f>IF(C42="","","MBR-"&amp;TEXT(ROW()-5,"0000"))</x:f>
      </x:c>
      <x:c r="C42" s="37"/>
      <x:c r="D42" s="37"/>
      <x:c r="E42" s="37"/>
      <x:c r="F42" s="42"/>
      <x:c r="G42" s="37"/>
      <x:c r="H42" s="37"/>
      <x:c r="I42" s="37"/>
      <x:c r="J42" s="42"/>
      <x:c r="K42" s="42"/>
      <x:c r="L42" s="66"/>
      <x:c r="M42" s="67" t="str">
        <x:f>IF(B42="","",COUNTIFS('04_ATTENDANCE'!$E$6:$E$105,B42,'04_ATTENDANCE'!$M$6:$M$105,1))</x:f>
      </x:c>
      <x:c r="N42" s="68" t="str">
        <x:f>IF(B42="","",MAX(0,L42-M42))</x:f>
      </x:c>
      <x:c r="O42" s="67" t="str">
        <x:f>IF(B42="","",SUMIFS('05_SALES_PAYMENTS'!$N$6:$N$105,'05_SALES_PAYMENTS'!$D$6:$D$105,B42))</x:f>
      </x:c>
      <x:c r="P42" s="37"/>
      <x:c r="Q42" s="37"/>
      <x:c r="R42" s="37"/>
      <x:c r="S42" s="37"/>
      <x:c r="T42" s="37"/>
      <x:c r="U42" s="37"/>
      <x:c r="V42" s="37"/>
    </x:row>
    <x:row r="43">
      <x:c r="A43" s="37"/>
      <x:c r="B43" s="59" t="str">
        <x:f>IF(C43="","","MBR-"&amp;TEXT(ROW()-5,"0000"))</x:f>
      </x:c>
      <x:c r="C43" s="37"/>
      <x:c r="D43" s="37"/>
      <x:c r="E43" s="37"/>
      <x:c r="F43" s="42"/>
      <x:c r="G43" s="37"/>
      <x:c r="H43" s="37"/>
      <x:c r="I43" s="37"/>
      <x:c r="J43" s="42"/>
      <x:c r="K43" s="42"/>
      <x:c r="L43" s="66"/>
      <x:c r="M43" s="67" t="str">
        <x:f>IF(B43="","",COUNTIFS('04_ATTENDANCE'!$E$6:$E$105,B43,'04_ATTENDANCE'!$M$6:$M$105,1))</x:f>
      </x:c>
      <x:c r="N43" s="68" t="str">
        <x:f>IF(B43="","",MAX(0,L43-M43))</x:f>
      </x:c>
      <x:c r="O43" s="67" t="str">
        <x:f>IF(B43="","",SUMIFS('05_SALES_PAYMENTS'!$N$6:$N$105,'05_SALES_PAYMENTS'!$D$6:$D$105,B43))</x:f>
      </x:c>
      <x:c r="P43" s="37"/>
      <x:c r="Q43" s="37"/>
      <x:c r="R43" s="37"/>
      <x:c r="S43" s="37"/>
      <x:c r="T43" s="37"/>
      <x:c r="U43" s="37"/>
      <x:c r="V43" s="37"/>
    </x:row>
    <x:row r="44">
      <x:c r="A44" s="37"/>
      <x:c r="B44" s="59" t="str">
        <x:f>IF(C44="","","MBR-"&amp;TEXT(ROW()-5,"0000"))</x:f>
      </x:c>
      <x:c r="C44" s="37"/>
      <x:c r="D44" s="37"/>
      <x:c r="E44" s="37"/>
      <x:c r="F44" s="42"/>
      <x:c r="G44" s="37"/>
      <x:c r="H44" s="37"/>
      <x:c r="I44" s="37"/>
      <x:c r="J44" s="42"/>
      <x:c r="K44" s="42"/>
      <x:c r="L44" s="66"/>
      <x:c r="M44" s="67" t="str">
        <x:f>IF(B44="","",COUNTIFS('04_ATTENDANCE'!$E$6:$E$105,B44,'04_ATTENDANCE'!$M$6:$M$105,1))</x:f>
      </x:c>
      <x:c r="N44" s="68" t="str">
        <x:f>IF(B44="","",MAX(0,L44-M44))</x:f>
      </x:c>
      <x:c r="O44" s="67" t="str">
        <x:f>IF(B44="","",SUMIFS('05_SALES_PAYMENTS'!$N$6:$N$105,'05_SALES_PAYMENTS'!$D$6:$D$105,B44))</x:f>
      </x:c>
      <x:c r="P44" s="37"/>
      <x:c r="Q44" s="37"/>
      <x:c r="R44" s="37"/>
      <x:c r="S44" s="37"/>
      <x:c r="T44" s="37"/>
      <x:c r="U44" s="37"/>
      <x:c r="V44" s="37"/>
    </x:row>
    <x:row r="45">
      <x:c r="A45" s="37"/>
      <x:c r="B45" s="59" t="str">
        <x:f>IF(C45="","","MBR-"&amp;TEXT(ROW()-5,"0000"))</x:f>
      </x:c>
      <x:c r="C45" s="37"/>
      <x:c r="D45" s="37"/>
      <x:c r="E45" s="37"/>
      <x:c r="F45" s="42"/>
      <x:c r="G45" s="37"/>
      <x:c r="H45" s="37"/>
      <x:c r="I45" s="37"/>
      <x:c r="J45" s="42"/>
      <x:c r="K45" s="42"/>
      <x:c r="L45" s="66"/>
      <x:c r="M45" s="67" t="str">
        <x:f>IF(B45="","",COUNTIFS('04_ATTENDANCE'!$E$6:$E$105,B45,'04_ATTENDANCE'!$M$6:$M$105,1))</x:f>
      </x:c>
      <x:c r="N45" s="68" t="str">
        <x:f>IF(B45="","",MAX(0,L45-M45))</x:f>
      </x:c>
      <x:c r="O45" s="67" t="str">
        <x:f>IF(B45="","",SUMIFS('05_SALES_PAYMENTS'!$N$6:$N$105,'05_SALES_PAYMENTS'!$D$6:$D$105,B45))</x:f>
      </x:c>
      <x:c r="P45" s="37"/>
      <x:c r="Q45" s="37"/>
      <x:c r="R45" s="37"/>
      <x:c r="S45" s="37"/>
      <x:c r="T45" s="37"/>
      <x:c r="U45" s="37"/>
      <x:c r="V45" s="37"/>
    </x:row>
    <x:row r="46">
      <x:c r="A46" s="37"/>
      <x:c r="B46" s="59" t="str">
        <x:f>IF(C46="","","MBR-"&amp;TEXT(ROW()-5,"0000"))</x:f>
      </x:c>
      <x:c r="C46" s="37"/>
      <x:c r="D46" s="37"/>
      <x:c r="E46" s="37"/>
      <x:c r="F46" s="42"/>
      <x:c r="G46" s="37"/>
      <x:c r="H46" s="37"/>
      <x:c r="I46" s="37"/>
      <x:c r="J46" s="42"/>
      <x:c r="K46" s="42"/>
      <x:c r="L46" s="66"/>
      <x:c r="M46" s="67" t="str">
        <x:f>IF(B46="","",COUNTIFS('04_ATTENDANCE'!$E$6:$E$105,B46,'04_ATTENDANCE'!$M$6:$M$105,1))</x:f>
      </x:c>
      <x:c r="N46" s="68" t="str">
        <x:f>IF(B46="","",MAX(0,L46-M46))</x:f>
      </x:c>
      <x:c r="O46" s="67" t="str">
        <x:f>IF(B46="","",SUMIFS('05_SALES_PAYMENTS'!$N$6:$N$105,'05_SALES_PAYMENTS'!$D$6:$D$105,B46))</x:f>
      </x:c>
      <x:c r="P46" s="37"/>
      <x:c r="Q46" s="37"/>
      <x:c r="R46" s="37"/>
      <x:c r="S46" s="37"/>
      <x:c r="T46" s="37"/>
      <x:c r="U46" s="37"/>
      <x:c r="V46" s="37"/>
    </x:row>
    <x:row r="47">
      <x:c r="A47" s="37"/>
      <x:c r="B47" s="59" t="str">
        <x:f>IF(C47="","","MBR-"&amp;TEXT(ROW()-5,"0000"))</x:f>
      </x:c>
      <x:c r="C47" s="37"/>
      <x:c r="D47" s="37"/>
      <x:c r="E47" s="37"/>
      <x:c r="F47" s="42"/>
      <x:c r="G47" s="37"/>
      <x:c r="H47" s="37"/>
      <x:c r="I47" s="37"/>
      <x:c r="J47" s="42"/>
      <x:c r="K47" s="42"/>
      <x:c r="L47" s="66"/>
      <x:c r="M47" s="67" t="str">
        <x:f>IF(B47="","",COUNTIFS('04_ATTENDANCE'!$E$6:$E$105,B47,'04_ATTENDANCE'!$M$6:$M$105,1))</x:f>
      </x:c>
      <x:c r="N47" s="68" t="str">
        <x:f>IF(B47="","",MAX(0,L47-M47))</x:f>
      </x:c>
      <x:c r="O47" s="67" t="str">
        <x:f>IF(B47="","",SUMIFS('05_SALES_PAYMENTS'!$N$6:$N$105,'05_SALES_PAYMENTS'!$D$6:$D$105,B47))</x:f>
      </x:c>
      <x:c r="P47" s="37"/>
      <x:c r="Q47" s="37"/>
      <x:c r="R47" s="37"/>
      <x:c r="S47" s="37"/>
      <x:c r="T47" s="37"/>
      <x:c r="U47" s="37"/>
      <x:c r="V47" s="37"/>
    </x:row>
    <x:row r="48">
      <x:c r="A48" s="37"/>
      <x:c r="B48" s="59" t="str">
        <x:f>IF(C48="","","MBR-"&amp;TEXT(ROW()-5,"0000"))</x:f>
      </x:c>
      <x:c r="C48" s="37"/>
      <x:c r="D48" s="37"/>
      <x:c r="E48" s="37"/>
      <x:c r="F48" s="42"/>
      <x:c r="G48" s="37"/>
      <x:c r="H48" s="37"/>
      <x:c r="I48" s="37"/>
      <x:c r="J48" s="42"/>
      <x:c r="K48" s="42"/>
      <x:c r="L48" s="66"/>
      <x:c r="M48" s="67" t="str">
        <x:f>IF(B48="","",COUNTIFS('04_ATTENDANCE'!$E$6:$E$105,B48,'04_ATTENDANCE'!$M$6:$M$105,1))</x:f>
      </x:c>
      <x:c r="N48" s="68" t="str">
        <x:f>IF(B48="","",MAX(0,L48-M48))</x:f>
      </x:c>
      <x:c r="O48" s="67" t="str">
        <x:f>IF(B48="","",SUMIFS('05_SALES_PAYMENTS'!$N$6:$N$105,'05_SALES_PAYMENTS'!$D$6:$D$105,B48))</x:f>
      </x:c>
      <x:c r="P48" s="37"/>
      <x:c r="Q48" s="37"/>
      <x:c r="R48" s="37"/>
      <x:c r="S48" s="37"/>
      <x:c r="T48" s="37"/>
      <x:c r="U48" s="37"/>
      <x:c r="V48" s="37"/>
    </x:row>
    <x:row r="49">
      <x:c r="A49" s="37"/>
      <x:c r="B49" s="59" t="str">
        <x:f>IF(C49="","","MBR-"&amp;TEXT(ROW()-5,"0000"))</x:f>
      </x:c>
      <x:c r="C49" s="37"/>
      <x:c r="D49" s="37"/>
      <x:c r="E49" s="37"/>
      <x:c r="F49" s="42"/>
      <x:c r="G49" s="37"/>
      <x:c r="H49" s="37"/>
      <x:c r="I49" s="37"/>
      <x:c r="J49" s="42"/>
      <x:c r="K49" s="42"/>
      <x:c r="L49" s="66"/>
      <x:c r="M49" s="67" t="str">
        <x:f>IF(B49="","",COUNTIFS('04_ATTENDANCE'!$E$6:$E$105,B49,'04_ATTENDANCE'!$M$6:$M$105,1))</x:f>
      </x:c>
      <x:c r="N49" s="68" t="str">
        <x:f>IF(B49="","",MAX(0,L49-M49))</x:f>
      </x:c>
      <x:c r="O49" s="67" t="str">
        <x:f>IF(B49="","",SUMIFS('05_SALES_PAYMENTS'!$N$6:$N$105,'05_SALES_PAYMENTS'!$D$6:$D$105,B49))</x:f>
      </x:c>
      <x:c r="P49" s="37"/>
      <x:c r="Q49" s="37"/>
      <x:c r="R49" s="37"/>
      <x:c r="S49" s="37"/>
      <x:c r="T49" s="37"/>
      <x:c r="U49" s="37"/>
      <x:c r="V49" s="37"/>
    </x:row>
    <x:row r="50">
      <x:c r="A50" s="37"/>
      <x:c r="B50" s="59" t="str">
        <x:f>IF(C50="","","MBR-"&amp;TEXT(ROW()-5,"0000"))</x:f>
      </x:c>
      <x:c r="C50" s="37"/>
      <x:c r="D50" s="37"/>
      <x:c r="E50" s="37"/>
      <x:c r="F50" s="42"/>
      <x:c r="G50" s="37"/>
      <x:c r="H50" s="37"/>
      <x:c r="I50" s="37"/>
      <x:c r="J50" s="42"/>
      <x:c r="K50" s="42"/>
      <x:c r="L50" s="66"/>
      <x:c r="M50" s="67" t="str">
        <x:f>IF(B50="","",COUNTIFS('04_ATTENDANCE'!$E$6:$E$105,B50,'04_ATTENDANCE'!$M$6:$M$105,1))</x:f>
      </x:c>
      <x:c r="N50" s="68" t="str">
        <x:f>IF(B50="","",MAX(0,L50-M50))</x:f>
      </x:c>
      <x:c r="O50" s="67" t="str">
        <x:f>IF(B50="","",SUMIFS('05_SALES_PAYMENTS'!$N$6:$N$105,'05_SALES_PAYMENTS'!$D$6:$D$105,B50))</x:f>
      </x:c>
      <x:c r="P50" s="37"/>
      <x:c r="Q50" s="37"/>
      <x:c r="R50" s="37"/>
      <x:c r="S50" s="37"/>
      <x:c r="T50" s="37"/>
      <x:c r="U50" s="37"/>
      <x:c r="V50" s="37"/>
    </x:row>
    <x:row r="51">
      <x:c r="A51" s="37"/>
      <x:c r="B51" s="59" t="str">
        <x:f>IF(C51="","","MBR-"&amp;TEXT(ROW()-5,"0000"))</x:f>
      </x:c>
      <x:c r="C51" s="37"/>
      <x:c r="D51" s="37"/>
      <x:c r="E51" s="37"/>
      <x:c r="F51" s="42"/>
      <x:c r="G51" s="37"/>
      <x:c r="H51" s="37"/>
      <x:c r="I51" s="37"/>
      <x:c r="J51" s="42"/>
      <x:c r="K51" s="42"/>
      <x:c r="L51" s="66"/>
      <x:c r="M51" s="67" t="str">
        <x:f>IF(B51="","",COUNTIFS('04_ATTENDANCE'!$E$6:$E$105,B51,'04_ATTENDANCE'!$M$6:$M$105,1))</x:f>
      </x:c>
      <x:c r="N51" s="68" t="str">
        <x:f>IF(B51="","",MAX(0,L51-M51))</x:f>
      </x:c>
      <x:c r="O51" s="67" t="str">
        <x:f>IF(B51="","",SUMIFS('05_SALES_PAYMENTS'!$N$6:$N$105,'05_SALES_PAYMENTS'!$D$6:$D$105,B51))</x:f>
      </x:c>
      <x:c r="P51" s="37"/>
      <x:c r="Q51" s="37"/>
      <x:c r="R51" s="37"/>
      <x:c r="S51" s="37"/>
      <x:c r="T51" s="37"/>
      <x:c r="U51" s="37"/>
      <x:c r="V51" s="37"/>
    </x:row>
    <x:row r="52">
      <x:c r="A52" s="37"/>
      <x:c r="B52" s="59" t="str">
        <x:f>IF(C52="","","MBR-"&amp;TEXT(ROW()-5,"0000"))</x:f>
      </x:c>
      <x:c r="C52" s="37"/>
      <x:c r="D52" s="37"/>
      <x:c r="E52" s="37"/>
      <x:c r="F52" s="42"/>
      <x:c r="G52" s="37"/>
      <x:c r="H52" s="37"/>
      <x:c r="I52" s="37"/>
      <x:c r="J52" s="42"/>
      <x:c r="K52" s="42"/>
      <x:c r="L52" s="66"/>
      <x:c r="M52" s="67" t="str">
        <x:f>IF(B52="","",COUNTIFS('04_ATTENDANCE'!$E$6:$E$105,B52,'04_ATTENDANCE'!$M$6:$M$105,1))</x:f>
      </x:c>
      <x:c r="N52" s="68" t="str">
        <x:f>IF(B52="","",MAX(0,L52-M52))</x:f>
      </x:c>
      <x:c r="O52" s="67" t="str">
        <x:f>IF(B52="","",SUMIFS('05_SALES_PAYMENTS'!$N$6:$N$105,'05_SALES_PAYMENTS'!$D$6:$D$105,B52))</x:f>
      </x:c>
      <x:c r="P52" s="37"/>
      <x:c r="Q52" s="37"/>
      <x:c r="R52" s="37"/>
      <x:c r="S52" s="37"/>
      <x:c r="T52" s="37"/>
      <x:c r="U52" s="37"/>
      <x:c r="V52" s="37"/>
    </x:row>
    <x:row r="53">
      <x:c r="A53" s="37"/>
      <x:c r="B53" s="59" t="str">
        <x:f>IF(C53="","","MBR-"&amp;TEXT(ROW()-5,"0000"))</x:f>
      </x:c>
      <x:c r="C53" s="37"/>
      <x:c r="D53" s="37"/>
      <x:c r="E53" s="37"/>
      <x:c r="F53" s="42"/>
      <x:c r="G53" s="37"/>
      <x:c r="H53" s="37"/>
      <x:c r="I53" s="37"/>
      <x:c r="J53" s="42"/>
      <x:c r="K53" s="42"/>
      <x:c r="L53" s="66"/>
      <x:c r="M53" s="67" t="str">
        <x:f>IF(B53="","",COUNTIFS('04_ATTENDANCE'!$E$6:$E$105,B53,'04_ATTENDANCE'!$M$6:$M$105,1))</x:f>
      </x:c>
      <x:c r="N53" s="68" t="str">
        <x:f>IF(B53="","",MAX(0,L53-M53))</x:f>
      </x:c>
      <x:c r="O53" s="67" t="str">
        <x:f>IF(B53="","",SUMIFS('05_SALES_PAYMENTS'!$N$6:$N$105,'05_SALES_PAYMENTS'!$D$6:$D$105,B53))</x:f>
      </x:c>
      <x:c r="P53" s="37"/>
      <x:c r="Q53" s="37"/>
      <x:c r="R53" s="37"/>
      <x:c r="S53" s="37"/>
      <x:c r="T53" s="37"/>
      <x:c r="U53" s="37"/>
      <x:c r="V53" s="37"/>
    </x:row>
    <x:row r="54">
      <x:c r="A54" s="37"/>
      <x:c r="B54" s="59" t="str">
        <x:f>IF(C54="","","MBR-"&amp;TEXT(ROW()-5,"0000"))</x:f>
      </x:c>
      <x:c r="C54" s="37"/>
      <x:c r="D54" s="37"/>
      <x:c r="E54" s="37"/>
      <x:c r="F54" s="42"/>
      <x:c r="G54" s="37"/>
      <x:c r="H54" s="37"/>
      <x:c r="I54" s="37"/>
      <x:c r="J54" s="42"/>
      <x:c r="K54" s="42"/>
      <x:c r="L54" s="66"/>
      <x:c r="M54" s="67" t="str">
        <x:f>IF(B54="","",COUNTIFS('04_ATTENDANCE'!$E$6:$E$105,B54,'04_ATTENDANCE'!$M$6:$M$105,1))</x:f>
      </x:c>
      <x:c r="N54" s="68" t="str">
        <x:f>IF(B54="","",MAX(0,L54-M54))</x:f>
      </x:c>
      <x:c r="O54" s="67" t="str">
        <x:f>IF(B54="","",SUMIFS('05_SALES_PAYMENTS'!$N$6:$N$105,'05_SALES_PAYMENTS'!$D$6:$D$105,B54))</x:f>
      </x:c>
      <x:c r="P54" s="37"/>
      <x:c r="Q54" s="37"/>
      <x:c r="R54" s="37"/>
      <x:c r="S54" s="37"/>
      <x:c r="T54" s="37"/>
      <x:c r="U54" s="37"/>
      <x:c r="V54" s="37"/>
    </x:row>
    <x:row r="55">
      <x:c r="A55" s="37"/>
      <x:c r="B55" s="59" t="str">
        <x:f>IF(C55="","","MBR-"&amp;TEXT(ROW()-5,"0000"))</x:f>
      </x:c>
      <x:c r="C55" s="37"/>
      <x:c r="D55" s="37"/>
      <x:c r="E55" s="37"/>
      <x:c r="F55" s="42"/>
      <x:c r="G55" s="37"/>
      <x:c r="H55" s="37"/>
      <x:c r="I55" s="37"/>
      <x:c r="J55" s="42"/>
      <x:c r="K55" s="42"/>
      <x:c r="L55" s="66"/>
      <x:c r="M55" s="67" t="str">
        <x:f>IF(B55="","",COUNTIFS('04_ATTENDANCE'!$E$6:$E$105,B55,'04_ATTENDANCE'!$M$6:$M$105,1))</x:f>
      </x:c>
      <x:c r="N55" s="68" t="str">
        <x:f>IF(B55="","",MAX(0,L55-M55))</x:f>
      </x:c>
      <x:c r="O55" s="67" t="str">
        <x:f>IF(B55="","",SUMIFS('05_SALES_PAYMENTS'!$N$6:$N$105,'05_SALES_PAYMENTS'!$D$6:$D$105,B55))</x:f>
      </x:c>
      <x:c r="P55" s="37"/>
      <x:c r="Q55" s="37"/>
      <x:c r="R55" s="37"/>
      <x:c r="S55" s="37"/>
      <x:c r="T55" s="37"/>
      <x:c r="U55" s="37"/>
      <x:c r="V55" s="37"/>
    </x:row>
    <x:row r="56">
      <x:c r="A56" s="37"/>
      <x:c r="B56" s="59" t="str">
        <x:f>IF(C56="","","MBR-"&amp;TEXT(ROW()-5,"0000"))</x:f>
      </x:c>
      <x:c r="C56" s="37"/>
      <x:c r="D56" s="37"/>
      <x:c r="E56" s="37"/>
      <x:c r="F56" s="42"/>
      <x:c r="G56" s="37"/>
      <x:c r="H56" s="37"/>
      <x:c r="I56" s="37"/>
      <x:c r="J56" s="42"/>
      <x:c r="K56" s="42"/>
      <x:c r="L56" s="66"/>
      <x:c r="M56" s="67" t="str">
        <x:f>IF(B56="","",COUNTIFS('04_ATTENDANCE'!$E$6:$E$105,B56,'04_ATTENDANCE'!$M$6:$M$105,1))</x:f>
      </x:c>
      <x:c r="N56" s="68" t="str">
        <x:f>IF(B56="","",MAX(0,L56-M56))</x:f>
      </x:c>
      <x:c r="O56" s="67" t="str">
        <x:f>IF(B56="","",SUMIFS('05_SALES_PAYMENTS'!$N$6:$N$105,'05_SALES_PAYMENTS'!$D$6:$D$105,B56))</x:f>
      </x:c>
      <x:c r="P56" s="37"/>
      <x:c r="Q56" s="37"/>
      <x:c r="R56" s="37"/>
      <x:c r="S56" s="37"/>
      <x:c r="T56" s="37"/>
      <x:c r="U56" s="37"/>
      <x:c r="V56" s="37"/>
    </x:row>
    <x:row r="57">
      <x:c r="A57" s="37"/>
      <x:c r="B57" s="59" t="str">
        <x:f>IF(C57="","","MBR-"&amp;TEXT(ROW()-5,"0000"))</x:f>
      </x:c>
      <x:c r="C57" s="37"/>
      <x:c r="D57" s="37"/>
      <x:c r="E57" s="37"/>
      <x:c r="F57" s="42"/>
      <x:c r="G57" s="37"/>
      <x:c r="H57" s="37"/>
      <x:c r="I57" s="37"/>
      <x:c r="J57" s="42"/>
      <x:c r="K57" s="42"/>
      <x:c r="L57" s="66"/>
      <x:c r="M57" s="67" t="str">
        <x:f>IF(B57="","",COUNTIFS('04_ATTENDANCE'!$E$6:$E$105,B57,'04_ATTENDANCE'!$M$6:$M$105,1))</x:f>
      </x:c>
      <x:c r="N57" s="68" t="str">
        <x:f>IF(B57="","",MAX(0,L57-M57))</x:f>
      </x:c>
      <x:c r="O57" s="67" t="str">
        <x:f>IF(B57="","",SUMIFS('05_SALES_PAYMENTS'!$N$6:$N$105,'05_SALES_PAYMENTS'!$D$6:$D$105,B57))</x:f>
      </x:c>
      <x:c r="P57" s="37"/>
      <x:c r="Q57" s="37"/>
      <x:c r="R57" s="37"/>
      <x:c r="S57" s="37"/>
      <x:c r="T57" s="37"/>
      <x:c r="U57" s="37"/>
      <x:c r="V57" s="37"/>
    </x:row>
    <x:row r="58">
      <x:c r="A58" s="37"/>
      <x:c r="B58" s="59" t="str">
        <x:f>IF(C58="","","MBR-"&amp;TEXT(ROW()-5,"0000"))</x:f>
      </x:c>
      <x:c r="C58" s="37"/>
      <x:c r="D58" s="37"/>
      <x:c r="E58" s="37"/>
      <x:c r="F58" s="42"/>
      <x:c r="G58" s="37"/>
      <x:c r="H58" s="37"/>
      <x:c r="I58" s="37"/>
      <x:c r="J58" s="42"/>
      <x:c r="K58" s="42"/>
      <x:c r="L58" s="66"/>
      <x:c r="M58" s="67" t="str">
        <x:f>IF(B58="","",COUNTIFS('04_ATTENDANCE'!$E$6:$E$105,B58,'04_ATTENDANCE'!$M$6:$M$105,1))</x:f>
      </x:c>
      <x:c r="N58" s="68" t="str">
        <x:f>IF(B58="","",MAX(0,L58-M58))</x:f>
      </x:c>
      <x:c r="O58" s="67" t="str">
        <x:f>IF(B58="","",SUMIFS('05_SALES_PAYMENTS'!$N$6:$N$105,'05_SALES_PAYMENTS'!$D$6:$D$105,B58))</x:f>
      </x:c>
      <x:c r="P58" s="37"/>
      <x:c r="Q58" s="37"/>
      <x:c r="R58" s="37"/>
      <x:c r="S58" s="37"/>
      <x:c r="T58" s="37"/>
      <x:c r="U58" s="37"/>
      <x:c r="V58" s="37"/>
    </x:row>
    <x:row r="59">
      <x:c r="A59" s="37"/>
      <x:c r="B59" s="59" t="str">
        <x:f>IF(C59="","","MBR-"&amp;TEXT(ROW()-5,"0000"))</x:f>
      </x:c>
      <x:c r="C59" s="37"/>
      <x:c r="D59" s="37"/>
      <x:c r="E59" s="37"/>
      <x:c r="F59" s="42"/>
      <x:c r="G59" s="37"/>
      <x:c r="H59" s="37"/>
      <x:c r="I59" s="37"/>
      <x:c r="J59" s="42"/>
      <x:c r="K59" s="42"/>
      <x:c r="L59" s="66"/>
      <x:c r="M59" s="67" t="str">
        <x:f>IF(B59="","",COUNTIFS('04_ATTENDANCE'!$E$6:$E$105,B59,'04_ATTENDANCE'!$M$6:$M$105,1))</x:f>
      </x:c>
      <x:c r="N59" s="68" t="str">
        <x:f>IF(B59="","",MAX(0,L59-M59))</x:f>
      </x:c>
      <x:c r="O59" s="67" t="str">
        <x:f>IF(B59="","",SUMIFS('05_SALES_PAYMENTS'!$N$6:$N$105,'05_SALES_PAYMENTS'!$D$6:$D$105,B59))</x:f>
      </x:c>
      <x:c r="P59" s="37"/>
      <x:c r="Q59" s="37"/>
      <x:c r="R59" s="37"/>
      <x:c r="S59" s="37"/>
      <x:c r="T59" s="37"/>
      <x:c r="U59" s="37"/>
      <x:c r="V59" s="37"/>
    </x:row>
    <x:row r="60">
      <x:c r="A60" s="37"/>
      <x:c r="B60" s="59" t="str">
        <x:f>IF(C60="","","MBR-"&amp;TEXT(ROW()-5,"0000"))</x:f>
      </x:c>
      <x:c r="C60" s="37"/>
      <x:c r="D60" s="37"/>
      <x:c r="E60" s="37"/>
      <x:c r="F60" s="42"/>
      <x:c r="G60" s="37"/>
      <x:c r="H60" s="37"/>
      <x:c r="I60" s="37"/>
      <x:c r="J60" s="42"/>
      <x:c r="K60" s="42"/>
      <x:c r="L60" s="66"/>
      <x:c r="M60" s="67" t="str">
        <x:f>IF(B60="","",COUNTIFS('04_ATTENDANCE'!$E$6:$E$105,B60,'04_ATTENDANCE'!$M$6:$M$105,1))</x:f>
      </x:c>
      <x:c r="N60" s="68" t="str">
        <x:f>IF(B60="","",MAX(0,L60-M60))</x:f>
      </x:c>
      <x:c r="O60" s="67" t="str">
        <x:f>IF(B60="","",SUMIFS('05_SALES_PAYMENTS'!$N$6:$N$105,'05_SALES_PAYMENTS'!$D$6:$D$105,B60))</x:f>
      </x:c>
      <x:c r="P60" s="37"/>
      <x:c r="Q60" s="37"/>
      <x:c r="R60" s="37"/>
      <x:c r="S60" s="37"/>
      <x:c r="T60" s="37"/>
      <x:c r="U60" s="37"/>
      <x:c r="V60" s="37"/>
    </x:row>
    <x:row r="61">
      <x:c r="A61" s="37"/>
      <x:c r="B61" s="59" t="str">
        <x:f>IF(C61="","","MBR-"&amp;TEXT(ROW()-5,"0000"))</x:f>
      </x:c>
      <x:c r="C61" s="37"/>
      <x:c r="D61" s="37"/>
      <x:c r="E61" s="37"/>
      <x:c r="F61" s="42"/>
      <x:c r="G61" s="37"/>
      <x:c r="H61" s="37"/>
      <x:c r="I61" s="37"/>
      <x:c r="J61" s="42"/>
      <x:c r="K61" s="42"/>
      <x:c r="L61" s="66"/>
      <x:c r="M61" s="67" t="str">
        <x:f>IF(B61="","",COUNTIFS('04_ATTENDANCE'!$E$6:$E$105,B61,'04_ATTENDANCE'!$M$6:$M$105,1))</x:f>
      </x:c>
      <x:c r="N61" s="68" t="str">
        <x:f>IF(B61="","",MAX(0,L61-M61))</x:f>
      </x:c>
      <x:c r="O61" s="67" t="str">
        <x:f>IF(B61="","",SUMIFS('05_SALES_PAYMENTS'!$N$6:$N$105,'05_SALES_PAYMENTS'!$D$6:$D$105,B61))</x:f>
      </x:c>
      <x:c r="P61" s="37"/>
      <x:c r="Q61" s="37"/>
      <x:c r="R61" s="37"/>
      <x:c r="S61" s="37"/>
      <x:c r="T61" s="37"/>
      <x:c r="U61" s="37"/>
      <x:c r="V61" s="37"/>
    </x:row>
    <x:row r="62">
      <x:c r="A62" s="37"/>
      <x:c r="B62" s="59" t="str">
        <x:f>IF(C62="","","MBR-"&amp;TEXT(ROW()-5,"0000"))</x:f>
      </x:c>
      <x:c r="C62" s="37"/>
      <x:c r="D62" s="37"/>
      <x:c r="E62" s="37"/>
      <x:c r="F62" s="42"/>
      <x:c r="G62" s="37"/>
      <x:c r="H62" s="37"/>
      <x:c r="I62" s="37"/>
      <x:c r="J62" s="42"/>
      <x:c r="K62" s="42"/>
      <x:c r="L62" s="66"/>
      <x:c r="M62" s="67" t="str">
        <x:f>IF(B62="","",COUNTIFS('04_ATTENDANCE'!$E$6:$E$105,B62,'04_ATTENDANCE'!$M$6:$M$105,1))</x:f>
      </x:c>
      <x:c r="N62" s="68" t="str">
        <x:f>IF(B62="","",MAX(0,L62-M62))</x:f>
      </x:c>
      <x:c r="O62" s="67" t="str">
        <x:f>IF(B62="","",SUMIFS('05_SALES_PAYMENTS'!$N$6:$N$105,'05_SALES_PAYMENTS'!$D$6:$D$105,B62))</x:f>
      </x:c>
      <x:c r="P62" s="37"/>
      <x:c r="Q62" s="37"/>
      <x:c r="R62" s="37"/>
      <x:c r="S62" s="37"/>
      <x:c r="T62" s="37"/>
      <x:c r="U62" s="37"/>
      <x:c r="V62" s="37"/>
    </x:row>
    <x:row r="63">
      <x:c r="A63" s="37"/>
      <x:c r="B63" s="59" t="str">
        <x:f>IF(C63="","","MBR-"&amp;TEXT(ROW()-5,"0000"))</x:f>
      </x:c>
      <x:c r="C63" s="37"/>
      <x:c r="D63" s="37"/>
      <x:c r="E63" s="37"/>
      <x:c r="F63" s="42"/>
      <x:c r="G63" s="37"/>
      <x:c r="H63" s="37"/>
      <x:c r="I63" s="37"/>
      <x:c r="J63" s="42"/>
      <x:c r="K63" s="42"/>
      <x:c r="L63" s="66"/>
      <x:c r="M63" s="67" t="str">
        <x:f>IF(B63="","",COUNTIFS('04_ATTENDANCE'!$E$6:$E$105,B63,'04_ATTENDANCE'!$M$6:$M$105,1))</x:f>
      </x:c>
      <x:c r="N63" s="68" t="str">
        <x:f>IF(B63="","",MAX(0,L63-M63))</x:f>
      </x:c>
      <x:c r="O63" s="67" t="str">
        <x:f>IF(B63="","",SUMIFS('05_SALES_PAYMENTS'!$N$6:$N$105,'05_SALES_PAYMENTS'!$D$6:$D$105,B63))</x:f>
      </x:c>
      <x:c r="P63" s="37"/>
      <x:c r="Q63" s="37"/>
      <x:c r="R63" s="37"/>
      <x:c r="S63" s="37"/>
      <x:c r="T63" s="37"/>
      <x:c r="U63" s="37"/>
      <x:c r="V63" s="37"/>
    </x:row>
    <x:row r="64">
      <x:c r="A64" s="37"/>
      <x:c r="B64" s="59" t="str">
        <x:f>IF(C64="","","MBR-"&amp;TEXT(ROW()-5,"0000"))</x:f>
      </x:c>
      <x:c r="C64" s="37"/>
      <x:c r="D64" s="37"/>
      <x:c r="E64" s="37"/>
      <x:c r="F64" s="42"/>
      <x:c r="G64" s="37"/>
      <x:c r="H64" s="37"/>
      <x:c r="I64" s="37"/>
      <x:c r="J64" s="42"/>
      <x:c r="K64" s="42"/>
      <x:c r="L64" s="66"/>
      <x:c r="M64" s="67" t="str">
        <x:f>IF(B64="","",COUNTIFS('04_ATTENDANCE'!$E$6:$E$105,B64,'04_ATTENDANCE'!$M$6:$M$105,1))</x:f>
      </x:c>
      <x:c r="N64" s="68" t="str">
        <x:f>IF(B64="","",MAX(0,L64-M64))</x:f>
      </x:c>
      <x:c r="O64" s="67" t="str">
        <x:f>IF(B64="","",SUMIFS('05_SALES_PAYMENTS'!$N$6:$N$105,'05_SALES_PAYMENTS'!$D$6:$D$105,B64))</x:f>
      </x:c>
      <x:c r="P64" s="37"/>
      <x:c r="Q64" s="37"/>
      <x:c r="R64" s="37"/>
      <x:c r="S64" s="37"/>
      <x:c r="T64" s="37"/>
      <x:c r="U64" s="37"/>
      <x:c r="V64" s="37"/>
    </x:row>
    <x:row r="65">
      <x:c r="A65" s="37"/>
      <x:c r="B65" s="59" t="str">
        <x:f>IF(C65="","","MBR-"&amp;TEXT(ROW()-5,"0000"))</x:f>
      </x:c>
      <x:c r="C65" s="37"/>
      <x:c r="D65" s="37"/>
      <x:c r="E65" s="37"/>
      <x:c r="F65" s="42"/>
      <x:c r="G65" s="37"/>
      <x:c r="H65" s="37"/>
      <x:c r="I65" s="37"/>
      <x:c r="J65" s="42"/>
      <x:c r="K65" s="42"/>
      <x:c r="L65" s="66"/>
      <x:c r="M65" s="67" t="str">
        <x:f>IF(B65="","",COUNTIFS('04_ATTENDANCE'!$E$6:$E$105,B65,'04_ATTENDANCE'!$M$6:$M$105,1))</x:f>
      </x:c>
      <x:c r="N65" s="68" t="str">
        <x:f>IF(B65="","",MAX(0,L65-M65))</x:f>
      </x:c>
      <x:c r="O65" s="67" t="str">
        <x:f>IF(B65="","",SUMIFS('05_SALES_PAYMENTS'!$N$6:$N$105,'05_SALES_PAYMENTS'!$D$6:$D$105,B65))</x:f>
      </x:c>
      <x:c r="P65" s="37"/>
      <x:c r="Q65" s="37"/>
      <x:c r="R65" s="37"/>
      <x:c r="S65" s="37"/>
      <x:c r="T65" s="37"/>
      <x:c r="U65" s="37"/>
      <x:c r="V65" s="37"/>
    </x:row>
    <x:row r="66">
      <x:c r="A66" s="37"/>
      <x:c r="B66" s="59" t="str">
        <x:f>IF(C66="","","MBR-"&amp;TEXT(ROW()-5,"0000"))</x:f>
      </x:c>
      <x:c r="C66" s="37"/>
      <x:c r="D66" s="37"/>
      <x:c r="E66" s="37"/>
      <x:c r="F66" s="42"/>
      <x:c r="G66" s="37"/>
      <x:c r="H66" s="37"/>
      <x:c r="I66" s="37"/>
      <x:c r="J66" s="42"/>
      <x:c r="K66" s="42"/>
      <x:c r="L66" s="66"/>
      <x:c r="M66" s="67" t="str">
        <x:f>IF(B66="","",COUNTIFS('04_ATTENDANCE'!$E$6:$E$105,B66,'04_ATTENDANCE'!$M$6:$M$105,1))</x:f>
      </x:c>
      <x:c r="N66" s="68" t="str">
        <x:f>IF(B66="","",MAX(0,L66-M66))</x:f>
      </x:c>
      <x:c r="O66" s="67" t="str">
        <x:f>IF(B66="","",SUMIFS('05_SALES_PAYMENTS'!$N$6:$N$105,'05_SALES_PAYMENTS'!$D$6:$D$105,B66))</x:f>
      </x:c>
      <x:c r="P66" s="37"/>
      <x:c r="Q66" s="37"/>
      <x:c r="R66" s="37"/>
      <x:c r="S66" s="37"/>
      <x:c r="T66" s="37"/>
      <x:c r="U66" s="37"/>
      <x:c r="V66" s="37"/>
    </x:row>
    <x:row r="67">
      <x:c r="A67" s="37"/>
      <x:c r="B67" s="59" t="str">
        <x:f>IF(C67="","","MBR-"&amp;TEXT(ROW()-5,"0000"))</x:f>
      </x:c>
      <x:c r="C67" s="37"/>
      <x:c r="D67" s="37"/>
      <x:c r="E67" s="37"/>
      <x:c r="F67" s="42"/>
      <x:c r="G67" s="37"/>
      <x:c r="H67" s="37"/>
      <x:c r="I67" s="37"/>
      <x:c r="J67" s="42"/>
      <x:c r="K67" s="42"/>
      <x:c r="L67" s="66"/>
      <x:c r="M67" s="67" t="str">
        <x:f>IF(B67="","",COUNTIFS('04_ATTENDANCE'!$E$6:$E$105,B67,'04_ATTENDANCE'!$M$6:$M$105,1))</x:f>
      </x:c>
      <x:c r="N67" s="68" t="str">
        <x:f>IF(B67="","",MAX(0,L67-M67))</x:f>
      </x:c>
      <x:c r="O67" s="67" t="str">
        <x:f>IF(B67="","",SUMIFS('05_SALES_PAYMENTS'!$N$6:$N$105,'05_SALES_PAYMENTS'!$D$6:$D$105,B67))</x:f>
      </x:c>
      <x:c r="P67" s="37"/>
      <x:c r="Q67" s="37"/>
      <x:c r="R67" s="37"/>
      <x:c r="S67" s="37"/>
      <x:c r="T67" s="37"/>
      <x:c r="U67" s="37"/>
      <x:c r="V67" s="37"/>
    </x:row>
    <x:row r="68">
      <x:c r="A68" s="37"/>
      <x:c r="B68" s="59" t="str">
        <x:f>IF(C68="","","MBR-"&amp;TEXT(ROW()-5,"0000"))</x:f>
      </x:c>
      <x:c r="C68" s="37"/>
      <x:c r="D68" s="37"/>
      <x:c r="E68" s="37"/>
      <x:c r="F68" s="42"/>
      <x:c r="G68" s="37"/>
      <x:c r="H68" s="37"/>
      <x:c r="I68" s="37"/>
      <x:c r="J68" s="42"/>
      <x:c r="K68" s="42"/>
      <x:c r="L68" s="66"/>
      <x:c r="M68" s="67" t="str">
        <x:f>IF(B68="","",COUNTIFS('04_ATTENDANCE'!$E$6:$E$105,B68,'04_ATTENDANCE'!$M$6:$M$105,1))</x:f>
      </x:c>
      <x:c r="N68" s="68" t="str">
        <x:f>IF(B68="","",MAX(0,L68-M68))</x:f>
      </x:c>
      <x:c r="O68" s="67" t="str">
        <x:f>IF(B68="","",SUMIFS('05_SALES_PAYMENTS'!$N$6:$N$105,'05_SALES_PAYMENTS'!$D$6:$D$105,B68))</x:f>
      </x:c>
      <x:c r="P68" s="37"/>
      <x:c r="Q68" s="37"/>
      <x:c r="R68" s="37"/>
      <x:c r="S68" s="37"/>
      <x:c r="T68" s="37"/>
      <x:c r="U68" s="37"/>
      <x:c r="V68" s="37"/>
    </x:row>
    <x:row r="69">
      <x:c r="A69" s="37"/>
      <x:c r="B69" s="59" t="str">
        <x:f>IF(C69="","","MBR-"&amp;TEXT(ROW()-5,"0000"))</x:f>
      </x:c>
      <x:c r="C69" s="37"/>
      <x:c r="D69" s="37"/>
      <x:c r="E69" s="37"/>
      <x:c r="F69" s="42"/>
      <x:c r="G69" s="37"/>
      <x:c r="H69" s="37"/>
      <x:c r="I69" s="37"/>
      <x:c r="J69" s="42"/>
      <x:c r="K69" s="42"/>
      <x:c r="L69" s="66"/>
      <x:c r="M69" s="67" t="str">
        <x:f>IF(B69="","",COUNTIFS('04_ATTENDANCE'!$E$6:$E$105,B69,'04_ATTENDANCE'!$M$6:$M$105,1))</x:f>
      </x:c>
      <x:c r="N69" s="68" t="str">
        <x:f>IF(B69="","",MAX(0,L69-M69))</x:f>
      </x:c>
      <x:c r="O69" s="67" t="str">
        <x:f>IF(B69="","",SUMIFS('05_SALES_PAYMENTS'!$N$6:$N$105,'05_SALES_PAYMENTS'!$D$6:$D$105,B69))</x:f>
      </x:c>
      <x:c r="P69" s="37"/>
      <x:c r="Q69" s="37"/>
      <x:c r="R69" s="37"/>
      <x:c r="S69" s="37"/>
      <x:c r="T69" s="37"/>
      <x:c r="U69" s="37"/>
      <x:c r="V69" s="37"/>
    </x:row>
    <x:row r="70">
      <x:c r="A70" s="37"/>
      <x:c r="B70" s="59" t="str">
        <x:f>IF(C70="","","MBR-"&amp;TEXT(ROW()-5,"0000"))</x:f>
      </x:c>
      <x:c r="C70" s="37"/>
      <x:c r="D70" s="37"/>
      <x:c r="E70" s="37"/>
      <x:c r="F70" s="42"/>
      <x:c r="G70" s="37"/>
      <x:c r="H70" s="37"/>
      <x:c r="I70" s="37"/>
      <x:c r="J70" s="42"/>
      <x:c r="K70" s="42"/>
      <x:c r="L70" s="66"/>
      <x:c r="M70" s="67" t="str">
        <x:f>IF(B70="","",COUNTIFS('04_ATTENDANCE'!$E$6:$E$105,B70,'04_ATTENDANCE'!$M$6:$M$105,1))</x:f>
      </x:c>
      <x:c r="N70" s="68" t="str">
        <x:f>IF(B70="","",MAX(0,L70-M70))</x:f>
      </x:c>
      <x:c r="O70" s="67" t="str">
        <x:f>IF(B70="","",SUMIFS('05_SALES_PAYMENTS'!$N$6:$N$105,'05_SALES_PAYMENTS'!$D$6:$D$105,B70))</x:f>
      </x:c>
      <x:c r="P70" s="37"/>
      <x:c r="Q70" s="37"/>
      <x:c r="R70" s="37"/>
      <x:c r="S70" s="37"/>
      <x:c r="T70" s="37"/>
      <x:c r="U70" s="37"/>
      <x:c r="V70" s="37"/>
    </x:row>
    <x:row r="71">
      <x:c r="A71" s="37"/>
      <x:c r="B71" s="59" t="str">
        <x:f>IF(C71="","","MBR-"&amp;TEXT(ROW()-5,"0000"))</x:f>
      </x:c>
      <x:c r="C71" s="37"/>
      <x:c r="D71" s="37"/>
      <x:c r="E71" s="37"/>
      <x:c r="F71" s="42"/>
      <x:c r="G71" s="37"/>
      <x:c r="H71" s="37"/>
      <x:c r="I71" s="37"/>
      <x:c r="J71" s="42"/>
      <x:c r="K71" s="42"/>
      <x:c r="L71" s="66"/>
      <x:c r="M71" s="67" t="str">
        <x:f>IF(B71="","",COUNTIFS('04_ATTENDANCE'!$E$6:$E$105,B71,'04_ATTENDANCE'!$M$6:$M$105,1))</x:f>
      </x:c>
      <x:c r="N71" s="68" t="str">
        <x:f>IF(B71="","",MAX(0,L71-M71))</x:f>
      </x:c>
      <x:c r="O71" s="67" t="str">
        <x:f>IF(B71="","",SUMIFS('05_SALES_PAYMENTS'!$N$6:$N$105,'05_SALES_PAYMENTS'!$D$6:$D$105,B71))</x:f>
      </x:c>
      <x:c r="P71" s="37"/>
      <x:c r="Q71" s="37"/>
      <x:c r="R71" s="37"/>
      <x:c r="S71" s="37"/>
      <x:c r="T71" s="37"/>
      <x:c r="U71" s="37"/>
      <x:c r="V71" s="37"/>
    </x:row>
    <x:row r="72">
      <x:c r="A72" s="37"/>
      <x:c r="B72" s="59" t="str">
        <x:f>IF(C72="","","MBR-"&amp;TEXT(ROW()-5,"0000"))</x:f>
      </x:c>
      <x:c r="C72" s="37"/>
      <x:c r="D72" s="37"/>
      <x:c r="E72" s="37"/>
      <x:c r="F72" s="42"/>
      <x:c r="G72" s="37"/>
      <x:c r="H72" s="37"/>
      <x:c r="I72" s="37"/>
      <x:c r="J72" s="42"/>
      <x:c r="K72" s="42"/>
      <x:c r="L72" s="66"/>
      <x:c r="M72" s="67" t="str">
        <x:f>IF(B72="","",COUNTIFS('04_ATTENDANCE'!$E$6:$E$105,B72,'04_ATTENDANCE'!$M$6:$M$105,1))</x:f>
      </x:c>
      <x:c r="N72" s="68" t="str">
        <x:f>IF(B72="","",MAX(0,L72-M72))</x:f>
      </x:c>
      <x:c r="O72" s="67" t="str">
        <x:f>IF(B72="","",SUMIFS('05_SALES_PAYMENTS'!$N$6:$N$105,'05_SALES_PAYMENTS'!$D$6:$D$105,B72))</x:f>
      </x:c>
      <x:c r="P72" s="37"/>
      <x:c r="Q72" s="37"/>
      <x:c r="R72" s="37"/>
      <x:c r="S72" s="37"/>
      <x:c r="T72" s="37"/>
      <x:c r="U72" s="37"/>
      <x:c r="V72" s="37"/>
    </x:row>
    <x:row r="73">
      <x:c r="A73" s="37"/>
      <x:c r="B73" s="59" t="str">
        <x:f>IF(C73="","","MBR-"&amp;TEXT(ROW()-5,"0000"))</x:f>
      </x:c>
      <x:c r="C73" s="37"/>
      <x:c r="D73" s="37"/>
      <x:c r="E73" s="37"/>
      <x:c r="F73" s="42"/>
      <x:c r="G73" s="37"/>
      <x:c r="H73" s="37"/>
      <x:c r="I73" s="37"/>
      <x:c r="J73" s="42"/>
      <x:c r="K73" s="42"/>
      <x:c r="L73" s="66"/>
      <x:c r="M73" s="67" t="str">
        <x:f>IF(B73="","",COUNTIFS('04_ATTENDANCE'!$E$6:$E$105,B73,'04_ATTENDANCE'!$M$6:$M$105,1))</x:f>
      </x:c>
      <x:c r="N73" s="68" t="str">
        <x:f>IF(B73="","",MAX(0,L73-M73))</x:f>
      </x:c>
      <x:c r="O73" s="67" t="str">
        <x:f>IF(B73="","",SUMIFS('05_SALES_PAYMENTS'!$N$6:$N$105,'05_SALES_PAYMENTS'!$D$6:$D$105,B73))</x:f>
      </x:c>
      <x:c r="P73" s="37"/>
      <x:c r="Q73" s="37"/>
      <x:c r="R73" s="37"/>
      <x:c r="S73" s="37"/>
      <x:c r="T73" s="37"/>
      <x:c r="U73" s="37"/>
      <x:c r="V73" s="37"/>
    </x:row>
    <x:row r="74">
      <x:c r="A74" s="37"/>
      <x:c r="B74" s="59" t="str">
        <x:f>IF(C74="","","MBR-"&amp;TEXT(ROW()-5,"0000"))</x:f>
      </x:c>
      <x:c r="C74" s="37"/>
      <x:c r="D74" s="37"/>
      <x:c r="E74" s="37"/>
      <x:c r="F74" s="42"/>
      <x:c r="G74" s="37"/>
      <x:c r="H74" s="37"/>
      <x:c r="I74" s="37"/>
      <x:c r="J74" s="42"/>
      <x:c r="K74" s="42"/>
      <x:c r="L74" s="66"/>
      <x:c r="M74" s="67" t="str">
        <x:f>IF(B74="","",COUNTIFS('04_ATTENDANCE'!$E$6:$E$105,B74,'04_ATTENDANCE'!$M$6:$M$105,1))</x:f>
      </x:c>
      <x:c r="N74" s="68" t="str">
        <x:f>IF(B74="","",MAX(0,L74-M74))</x:f>
      </x:c>
      <x:c r="O74" s="67" t="str">
        <x:f>IF(B74="","",SUMIFS('05_SALES_PAYMENTS'!$N$6:$N$105,'05_SALES_PAYMENTS'!$D$6:$D$105,B74))</x:f>
      </x:c>
      <x:c r="P74" s="37"/>
      <x:c r="Q74" s="37"/>
      <x:c r="R74" s="37"/>
      <x:c r="S74" s="37"/>
      <x:c r="T74" s="37"/>
      <x:c r="U74" s="37"/>
      <x:c r="V74" s="37"/>
    </x:row>
    <x:row r="75">
      <x:c r="A75" s="37"/>
      <x:c r="B75" s="59" t="str">
        <x:f>IF(C75="","","MBR-"&amp;TEXT(ROW()-5,"0000"))</x:f>
      </x:c>
      <x:c r="C75" s="37"/>
      <x:c r="D75" s="37"/>
      <x:c r="E75" s="37"/>
      <x:c r="F75" s="42"/>
      <x:c r="G75" s="37"/>
      <x:c r="H75" s="37"/>
      <x:c r="I75" s="37"/>
      <x:c r="J75" s="42"/>
      <x:c r="K75" s="42"/>
      <x:c r="L75" s="66"/>
      <x:c r="M75" s="67" t="str">
        <x:f>IF(B75="","",COUNTIFS('04_ATTENDANCE'!$E$6:$E$105,B75,'04_ATTENDANCE'!$M$6:$M$105,1))</x:f>
      </x:c>
      <x:c r="N75" s="68" t="str">
        <x:f>IF(B75="","",MAX(0,L75-M75))</x:f>
      </x:c>
      <x:c r="O75" s="67" t="str">
        <x:f>IF(B75="","",SUMIFS('05_SALES_PAYMENTS'!$N$6:$N$105,'05_SALES_PAYMENTS'!$D$6:$D$105,B75))</x:f>
      </x:c>
      <x:c r="P75" s="37"/>
      <x:c r="Q75" s="37"/>
      <x:c r="R75" s="37"/>
      <x:c r="S75" s="37"/>
      <x:c r="T75" s="37"/>
      <x:c r="U75" s="37"/>
      <x:c r="V75" s="37"/>
    </x:row>
    <x:row r="76">
      <x:c r="A76" s="37"/>
      <x:c r="B76" s="59" t="str">
        <x:f>IF(C76="","","MBR-"&amp;TEXT(ROW()-5,"0000"))</x:f>
      </x:c>
      <x:c r="C76" s="37"/>
      <x:c r="D76" s="37"/>
      <x:c r="E76" s="37"/>
      <x:c r="F76" s="42"/>
      <x:c r="G76" s="37"/>
      <x:c r="H76" s="37"/>
      <x:c r="I76" s="37"/>
      <x:c r="J76" s="42"/>
      <x:c r="K76" s="42"/>
      <x:c r="L76" s="66"/>
      <x:c r="M76" s="67" t="str">
        <x:f>IF(B76="","",COUNTIFS('04_ATTENDANCE'!$E$6:$E$105,B76,'04_ATTENDANCE'!$M$6:$M$105,1))</x:f>
      </x:c>
      <x:c r="N76" s="68" t="str">
        <x:f>IF(B76="","",MAX(0,L76-M76))</x:f>
      </x:c>
      <x:c r="O76" s="67" t="str">
        <x:f>IF(B76="","",SUMIFS('05_SALES_PAYMENTS'!$N$6:$N$105,'05_SALES_PAYMENTS'!$D$6:$D$105,B76))</x:f>
      </x:c>
      <x:c r="P76" s="37"/>
      <x:c r="Q76" s="37"/>
      <x:c r="R76" s="37"/>
      <x:c r="S76" s="37"/>
      <x:c r="T76" s="37"/>
      <x:c r="U76" s="37"/>
      <x:c r="V76" s="37"/>
    </x:row>
    <x:row r="77">
      <x:c r="A77" s="37"/>
      <x:c r="B77" s="59" t="str">
        <x:f>IF(C77="","","MBR-"&amp;TEXT(ROW()-5,"0000"))</x:f>
      </x:c>
      <x:c r="C77" s="37"/>
      <x:c r="D77" s="37"/>
      <x:c r="E77" s="37"/>
      <x:c r="F77" s="42"/>
      <x:c r="G77" s="37"/>
      <x:c r="H77" s="37"/>
      <x:c r="I77" s="37"/>
      <x:c r="J77" s="42"/>
      <x:c r="K77" s="42"/>
      <x:c r="L77" s="66"/>
      <x:c r="M77" s="67" t="str">
        <x:f>IF(B77="","",COUNTIFS('04_ATTENDANCE'!$E$6:$E$105,B77,'04_ATTENDANCE'!$M$6:$M$105,1))</x:f>
      </x:c>
      <x:c r="N77" s="68" t="str">
        <x:f>IF(B77="","",MAX(0,L77-M77))</x:f>
      </x:c>
      <x:c r="O77" s="67" t="str">
        <x:f>IF(B77="","",SUMIFS('05_SALES_PAYMENTS'!$N$6:$N$105,'05_SALES_PAYMENTS'!$D$6:$D$105,B77))</x:f>
      </x:c>
      <x:c r="P77" s="37"/>
      <x:c r="Q77" s="37"/>
      <x:c r="R77" s="37"/>
      <x:c r="S77" s="37"/>
      <x:c r="T77" s="37"/>
      <x:c r="U77" s="37"/>
      <x:c r="V77" s="37"/>
    </x:row>
    <x:row r="78">
      <x:c r="A78" s="37"/>
      <x:c r="B78" s="59" t="str">
        <x:f>IF(C78="","","MBR-"&amp;TEXT(ROW()-5,"0000"))</x:f>
      </x:c>
      <x:c r="C78" s="37"/>
      <x:c r="D78" s="37"/>
      <x:c r="E78" s="37"/>
      <x:c r="F78" s="42"/>
      <x:c r="G78" s="37"/>
      <x:c r="H78" s="37"/>
      <x:c r="I78" s="37"/>
      <x:c r="J78" s="42"/>
      <x:c r="K78" s="42"/>
      <x:c r="L78" s="66"/>
      <x:c r="M78" s="67" t="str">
        <x:f>IF(B78="","",COUNTIFS('04_ATTENDANCE'!$E$6:$E$105,B78,'04_ATTENDANCE'!$M$6:$M$105,1))</x:f>
      </x:c>
      <x:c r="N78" s="68" t="str">
        <x:f>IF(B78="","",MAX(0,L78-M78))</x:f>
      </x:c>
      <x:c r="O78" s="67" t="str">
        <x:f>IF(B78="","",SUMIFS('05_SALES_PAYMENTS'!$N$6:$N$105,'05_SALES_PAYMENTS'!$D$6:$D$105,B78))</x:f>
      </x:c>
      <x:c r="P78" s="37"/>
      <x:c r="Q78" s="37"/>
      <x:c r="R78" s="37"/>
      <x:c r="S78" s="37"/>
      <x:c r="T78" s="37"/>
      <x:c r="U78" s="37"/>
      <x:c r="V78" s="37"/>
    </x:row>
    <x:row r="79">
      <x:c r="A79" s="37"/>
      <x:c r="B79" s="59" t="str">
        <x:f>IF(C79="","","MBR-"&amp;TEXT(ROW()-5,"0000"))</x:f>
      </x:c>
      <x:c r="C79" s="37"/>
      <x:c r="D79" s="37"/>
      <x:c r="E79" s="37"/>
      <x:c r="F79" s="42"/>
      <x:c r="G79" s="37"/>
      <x:c r="H79" s="37"/>
      <x:c r="I79" s="37"/>
      <x:c r="J79" s="42"/>
      <x:c r="K79" s="42"/>
      <x:c r="L79" s="66"/>
      <x:c r="M79" s="67" t="str">
        <x:f>IF(B79="","",COUNTIFS('04_ATTENDANCE'!$E$6:$E$105,B79,'04_ATTENDANCE'!$M$6:$M$105,1))</x:f>
      </x:c>
      <x:c r="N79" s="68" t="str">
        <x:f>IF(B79="","",MAX(0,L79-M79))</x:f>
      </x:c>
      <x:c r="O79" s="67" t="str">
        <x:f>IF(B79="","",SUMIFS('05_SALES_PAYMENTS'!$N$6:$N$105,'05_SALES_PAYMENTS'!$D$6:$D$105,B79))</x:f>
      </x:c>
      <x:c r="P79" s="37"/>
      <x:c r="Q79" s="37"/>
      <x:c r="R79" s="37"/>
      <x:c r="S79" s="37"/>
      <x:c r="T79" s="37"/>
      <x:c r="U79" s="37"/>
      <x:c r="V79" s="37"/>
    </x:row>
    <x:row r="80">
      <x:c r="A80" s="37"/>
      <x:c r="B80" s="59" t="str">
        <x:f>IF(C80="","","MBR-"&amp;TEXT(ROW()-5,"0000"))</x:f>
      </x:c>
      <x:c r="C80" s="37"/>
      <x:c r="D80" s="37"/>
      <x:c r="E80" s="37"/>
      <x:c r="F80" s="42"/>
      <x:c r="G80" s="37"/>
      <x:c r="H80" s="37"/>
      <x:c r="I80" s="37"/>
      <x:c r="J80" s="42"/>
      <x:c r="K80" s="42"/>
      <x:c r="L80" s="66"/>
      <x:c r="M80" s="67" t="str">
        <x:f>IF(B80="","",COUNTIFS('04_ATTENDANCE'!$E$6:$E$105,B80,'04_ATTENDANCE'!$M$6:$M$105,1))</x:f>
      </x:c>
      <x:c r="N80" s="68" t="str">
        <x:f>IF(B80="","",MAX(0,L80-M80))</x:f>
      </x:c>
      <x:c r="O80" s="67" t="str">
        <x:f>IF(B80="","",SUMIFS('05_SALES_PAYMENTS'!$N$6:$N$105,'05_SALES_PAYMENTS'!$D$6:$D$105,B80))</x:f>
      </x:c>
      <x:c r="P80" s="37"/>
      <x:c r="Q80" s="37"/>
      <x:c r="R80" s="37"/>
      <x:c r="S80" s="37"/>
      <x:c r="T80" s="37"/>
      <x:c r="U80" s="37"/>
      <x:c r="V80" s="37"/>
    </x:row>
    <x:row r="81">
      <x:c r="A81" s="37"/>
      <x:c r="B81" s="59" t="str">
        <x:f>IF(C81="","","MBR-"&amp;TEXT(ROW()-5,"0000"))</x:f>
      </x:c>
      <x:c r="C81" s="37"/>
      <x:c r="D81" s="37"/>
      <x:c r="E81" s="37"/>
      <x:c r="F81" s="42"/>
      <x:c r="G81" s="37"/>
      <x:c r="H81" s="37"/>
      <x:c r="I81" s="37"/>
      <x:c r="J81" s="42"/>
      <x:c r="K81" s="42"/>
      <x:c r="L81" s="66"/>
      <x:c r="M81" s="67" t="str">
        <x:f>IF(B81="","",COUNTIFS('04_ATTENDANCE'!$E$6:$E$105,B81,'04_ATTENDANCE'!$M$6:$M$105,1))</x:f>
      </x:c>
      <x:c r="N81" s="68" t="str">
        <x:f>IF(B81="","",MAX(0,L81-M81))</x:f>
      </x:c>
      <x:c r="O81" s="67" t="str">
        <x:f>IF(B81="","",SUMIFS('05_SALES_PAYMENTS'!$N$6:$N$105,'05_SALES_PAYMENTS'!$D$6:$D$105,B81))</x:f>
      </x:c>
      <x:c r="P81" s="37"/>
      <x:c r="Q81" s="37"/>
      <x:c r="R81" s="37"/>
      <x:c r="S81" s="37"/>
      <x:c r="T81" s="37"/>
      <x:c r="U81" s="37"/>
      <x:c r="V81" s="37"/>
    </x:row>
    <x:row r="82">
      <x:c r="A82" s="37"/>
      <x:c r="B82" s="59" t="str">
        <x:f>IF(C82="","","MBR-"&amp;TEXT(ROW()-5,"0000"))</x:f>
      </x:c>
      <x:c r="C82" s="37"/>
      <x:c r="D82" s="37"/>
      <x:c r="E82" s="37"/>
      <x:c r="F82" s="42"/>
      <x:c r="G82" s="37"/>
      <x:c r="H82" s="37"/>
      <x:c r="I82" s="37"/>
      <x:c r="J82" s="42"/>
      <x:c r="K82" s="42"/>
      <x:c r="L82" s="66"/>
      <x:c r="M82" s="67" t="str">
        <x:f>IF(B82="","",COUNTIFS('04_ATTENDANCE'!$E$6:$E$105,B82,'04_ATTENDANCE'!$M$6:$M$105,1))</x:f>
      </x:c>
      <x:c r="N82" s="68" t="str">
        <x:f>IF(B82="","",MAX(0,L82-M82))</x:f>
      </x:c>
      <x:c r="O82" s="67" t="str">
        <x:f>IF(B82="","",SUMIFS('05_SALES_PAYMENTS'!$N$6:$N$105,'05_SALES_PAYMENTS'!$D$6:$D$105,B82))</x:f>
      </x:c>
      <x:c r="P82" s="37"/>
      <x:c r="Q82" s="37"/>
      <x:c r="R82" s="37"/>
      <x:c r="S82" s="37"/>
      <x:c r="T82" s="37"/>
      <x:c r="U82" s="37"/>
      <x:c r="V82" s="37"/>
    </x:row>
    <x:row r="83">
      <x:c r="A83" s="37"/>
      <x:c r="B83" s="59" t="str">
        <x:f>IF(C83="","","MBR-"&amp;TEXT(ROW()-5,"0000"))</x:f>
      </x:c>
      <x:c r="C83" s="37"/>
      <x:c r="D83" s="37"/>
      <x:c r="E83" s="37"/>
      <x:c r="F83" s="42"/>
      <x:c r="G83" s="37"/>
      <x:c r="H83" s="37"/>
      <x:c r="I83" s="37"/>
      <x:c r="J83" s="42"/>
      <x:c r="K83" s="42"/>
      <x:c r="L83" s="66"/>
      <x:c r="M83" s="67" t="str">
        <x:f>IF(B83="","",COUNTIFS('04_ATTENDANCE'!$E$6:$E$105,B83,'04_ATTENDANCE'!$M$6:$M$105,1))</x:f>
      </x:c>
      <x:c r="N83" s="68" t="str">
        <x:f>IF(B83="","",MAX(0,L83-M83))</x:f>
      </x:c>
      <x:c r="O83" s="67" t="str">
        <x:f>IF(B83="","",SUMIFS('05_SALES_PAYMENTS'!$N$6:$N$105,'05_SALES_PAYMENTS'!$D$6:$D$105,B83))</x:f>
      </x:c>
      <x:c r="P83" s="37"/>
      <x:c r="Q83" s="37"/>
      <x:c r="R83" s="37"/>
      <x:c r="S83" s="37"/>
      <x:c r="T83" s="37"/>
      <x:c r="U83" s="37"/>
      <x:c r="V83" s="37"/>
    </x:row>
    <x:row r="84">
      <x:c r="A84" s="37"/>
      <x:c r="B84" s="59" t="str">
        <x:f>IF(C84="","","MBR-"&amp;TEXT(ROW()-5,"0000"))</x:f>
      </x:c>
      <x:c r="C84" s="37"/>
      <x:c r="D84" s="37"/>
      <x:c r="E84" s="37"/>
      <x:c r="F84" s="42"/>
      <x:c r="G84" s="37"/>
      <x:c r="H84" s="37"/>
      <x:c r="I84" s="37"/>
      <x:c r="J84" s="42"/>
      <x:c r="K84" s="42"/>
      <x:c r="L84" s="66"/>
      <x:c r="M84" s="67" t="str">
        <x:f>IF(B84="","",COUNTIFS('04_ATTENDANCE'!$E$6:$E$105,B84,'04_ATTENDANCE'!$M$6:$M$105,1))</x:f>
      </x:c>
      <x:c r="N84" s="68" t="str">
        <x:f>IF(B84="","",MAX(0,L84-M84))</x:f>
      </x:c>
      <x:c r="O84" s="67" t="str">
        <x:f>IF(B84="","",SUMIFS('05_SALES_PAYMENTS'!$N$6:$N$105,'05_SALES_PAYMENTS'!$D$6:$D$105,B84))</x:f>
      </x:c>
      <x:c r="P84" s="37"/>
      <x:c r="Q84" s="37"/>
      <x:c r="R84" s="37"/>
      <x:c r="S84" s="37"/>
      <x:c r="T84" s="37"/>
      <x:c r="U84" s="37"/>
      <x:c r="V84" s="37"/>
    </x:row>
    <x:row r="85">
      <x:c r="A85" s="37"/>
      <x:c r="B85" s="59" t="str">
        <x:f>IF(C85="","","MBR-"&amp;TEXT(ROW()-5,"0000"))</x:f>
      </x:c>
      <x:c r="C85" s="37"/>
      <x:c r="D85" s="37"/>
      <x:c r="E85" s="37"/>
      <x:c r="F85" s="42"/>
      <x:c r="G85" s="37"/>
      <x:c r="H85" s="37"/>
      <x:c r="I85" s="37"/>
      <x:c r="J85" s="42"/>
      <x:c r="K85" s="42"/>
      <x:c r="L85" s="66"/>
      <x:c r="M85" s="67" t="str">
        <x:f>IF(B85="","",COUNTIFS('04_ATTENDANCE'!$E$6:$E$105,B85,'04_ATTENDANCE'!$M$6:$M$105,1))</x:f>
      </x:c>
      <x:c r="N85" s="68" t="str">
        <x:f>IF(B85="","",MAX(0,L85-M85))</x:f>
      </x:c>
      <x:c r="O85" s="67" t="str">
        <x:f>IF(B85="","",SUMIFS('05_SALES_PAYMENTS'!$N$6:$N$105,'05_SALES_PAYMENTS'!$D$6:$D$105,B85))</x:f>
      </x:c>
      <x:c r="P85" s="37"/>
      <x:c r="Q85" s="37"/>
      <x:c r="R85" s="37"/>
      <x:c r="S85" s="37"/>
      <x:c r="T85" s="37"/>
      <x:c r="U85" s="37"/>
      <x:c r="V85" s="37"/>
    </x:row>
    <x:row r="86">
      <x:c r="A86" s="37"/>
      <x:c r="B86" s="59" t="str">
        <x:f>IF(C86="","","MBR-"&amp;TEXT(ROW()-5,"0000"))</x:f>
      </x:c>
      <x:c r="C86" s="37"/>
      <x:c r="D86" s="37"/>
      <x:c r="E86" s="37"/>
      <x:c r="F86" s="42"/>
      <x:c r="G86" s="37"/>
      <x:c r="H86" s="37"/>
      <x:c r="I86" s="37"/>
      <x:c r="J86" s="42"/>
      <x:c r="K86" s="42"/>
      <x:c r="L86" s="66"/>
      <x:c r="M86" s="67" t="str">
        <x:f>IF(B86="","",COUNTIFS('04_ATTENDANCE'!$E$6:$E$105,B86,'04_ATTENDANCE'!$M$6:$M$105,1))</x:f>
      </x:c>
      <x:c r="N86" s="68" t="str">
        <x:f>IF(B86="","",MAX(0,L86-M86))</x:f>
      </x:c>
      <x:c r="O86" s="67" t="str">
        <x:f>IF(B86="","",SUMIFS('05_SALES_PAYMENTS'!$N$6:$N$105,'05_SALES_PAYMENTS'!$D$6:$D$105,B86))</x:f>
      </x:c>
      <x:c r="P86" s="37"/>
      <x:c r="Q86" s="37"/>
      <x:c r="R86" s="37"/>
      <x:c r="S86" s="37"/>
      <x:c r="T86" s="37"/>
      <x:c r="U86" s="37"/>
      <x:c r="V86" s="37"/>
    </x:row>
    <x:row r="87">
      <x:c r="A87" s="37"/>
      <x:c r="B87" s="59" t="str">
        <x:f>IF(C87="","","MBR-"&amp;TEXT(ROW()-5,"0000"))</x:f>
      </x:c>
      <x:c r="C87" s="37"/>
      <x:c r="D87" s="37"/>
      <x:c r="E87" s="37"/>
      <x:c r="F87" s="42"/>
      <x:c r="G87" s="37"/>
      <x:c r="H87" s="37"/>
      <x:c r="I87" s="37"/>
      <x:c r="J87" s="42"/>
      <x:c r="K87" s="42"/>
      <x:c r="L87" s="66"/>
      <x:c r="M87" s="67" t="str">
        <x:f>IF(B87="","",COUNTIFS('04_ATTENDANCE'!$E$6:$E$105,B87,'04_ATTENDANCE'!$M$6:$M$105,1))</x:f>
      </x:c>
      <x:c r="N87" s="68" t="str">
        <x:f>IF(B87="","",MAX(0,L87-M87))</x:f>
      </x:c>
      <x:c r="O87" s="67" t="str">
        <x:f>IF(B87="","",SUMIFS('05_SALES_PAYMENTS'!$N$6:$N$105,'05_SALES_PAYMENTS'!$D$6:$D$105,B87))</x:f>
      </x:c>
      <x:c r="P87" s="37"/>
      <x:c r="Q87" s="37"/>
      <x:c r="R87" s="37"/>
      <x:c r="S87" s="37"/>
      <x:c r="T87" s="37"/>
      <x:c r="U87" s="37"/>
      <x:c r="V87" s="37"/>
    </x:row>
    <x:row r="88">
      <x:c r="A88" s="37"/>
      <x:c r="B88" s="59" t="str">
        <x:f>IF(C88="","","MBR-"&amp;TEXT(ROW()-5,"0000"))</x:f>
      </x:c>
      <x:c r="C88" s="37"/>
      <x:c r="D88" s="37"/>
      <x:c r="E88" s="37"/>
      <x:c r="F88" s="42"/>
      <x:c r="G88" s="37"/>
      <x:c r="H88" s="37"/>
      <x:c r="I88" s="37"/>
      <x:c r="J88" s="42"/>
      <x:c r="K88" s="42"/>
      <x:c r="L88" s="66"/>
      <x:c r="M88" s="67" t="str">
        <x:f>IF(B88="","",COUNTIFS('04_ATTENDANCE'!$E$6:$E$105,B88,'04_ATTENDANCE'!$M$6:$M$105,1))</x:f>
      </x:c>
      <x:c r="N88" s="68" t="str">
        <x:f>IF(B88="","",MAX(0,L88-M88))</x:f>
      </x:c>
      <x:c r="O88" s="67" t="str">
        <x:f>IF(B88="","",SUMIFS('05_SALES_PAYMENTS'!$N$6:$N$105,'05_SALES_PAYMENTS'!$D$6:$D$105,B88))</x:f>
      </x:c>
      <x:c r="P88" s="37"/>
      <x:c r="Q88" s="37"/>
      <x:c r="R88" s="37"/>
      <x:c r="S88" s="37"/>
      <x:c r="T88" s="37"/>
      <x:c r="U88" s="37"/>
      <x:c r="V88" s="37"/>
    </x:row>
    <x:row r="89">
      <x:c r="A89" s="37"/>
      <x:c r="B89" s="59" t="str">
        <x:f>IF(C89="","","MBR-"&amp;TEXT(ROW()-5,"0000"))</x:f>
      </x:c>
      <x:c r="C89" s="37"/>
      <x:c r="D89" s="37"/>
      <x:c r="E89" s="37"/>
      <x:c r="F89" s="42"/>
      <x:c r="G89" s="37"/>
      <x:c r="H89" s="37"/>
      <x:c r="I89" s="37"/>
      <x:c r="J89" s="42"/>
      <x:c r="K89" s="42"/>
      <x:c r="L89" s="66"/>
      <x:c r="M89" s="67" t="str">
        <x:f>IF(B89="","",COUNTIFS('04_ATTENDANCE'!$E$6:$E$105,B89,'04_ATTENDANCE'!$M$6:$M$105,1))</x:f>
      </x:c>
      <x:c r="N89" s="68" t="str">
        <x:f>IF(B89="","",MAX(0,L89-M89))</x:f>
      </x:c>
      <x:c r="O89" s="67" t="str">
        <x:f>IF(B89="","",SUMIFS('05_SALES_PAYMENTS'!$N$6:$N$105,'05_SALES_PAYMENTS'!$D$6:$D$105,B89))</x:f>
      </x:c>
      <x:c r="P89" s="37"/>
      <x:c r="Q89" s="37"/>
      <x:c r="R89" s="37"/>
      <x:c r="S89" s="37"/>
      <x:c r="T89" s="37"/>
      <x:c r="U89" s="37"/>
      <x:c r="V89" s="37"/>
    </x:row>
    <x:row r="90">
      <x:c r="A90" s="37"/>
      <x:c r="B90" s="59" t="str">
        <x:f>IF(C90="","","MBR-"&amp;TEXT(ROW()-5,"0000"))</x:f>
      </x:c>
      <x:c r="C90" s="37"/>
      <x:c r="D90" s="37"/>
      <x:c r="E90" s="37"/>
      <x:c r="F90" s="42"/>
      <x:c r="G90" s="37"/>
      <x:c r="H90" s="37"/>
      <x:c r="I90" s="37"/>
      <x:c r="J90" s="42"/>
      <x:c r="K90" s="42"/>
      <x:c r="L90" s="66"/>
      <x:c r="M90" s="67" t="str">
        <x:f>IF(B90="","",COUNTIFS('04_ATTENDANCE'!$E$6:$E$105,B90,'04_ATTENDANCE'!$M$6:$M$105,1))</x:f>
      </x:c>
      <x:c r="N90" s="68" t="str">
        <x:f>IF(B90="","",MAX(0,L90-M90))</x:f>
      </x:c>
      <x:c r="O90" s="67" t="str">
        <x:f>IF(B90="","",SUMIFS('05_SALES_PAYMENTS'!$N$6:$N$105,'05_SALES_PAYMENTS'!$D$6:$D$105,B90))</x:f>
      </x:c>
      <x:c r="P90" s="37"/>
      <x:c r="Q90" s="37"/>
      <x:c r="R90" s="37"/>
      <x:c r="S90" s="37"/>
      <x:c r="T90" s="37"/>
      <x:c r="U90" s="37"/>
      <x:c r="V90" s="37"/>
    </x:row>
    <x:row r="91">
      <x:c r="A91" s="37"/>
      <x:c r="B91" s="59" t="str">
        <x:f>IF(C91="","","MBR-"&amp;TEXT(ROW()-5,"0000"))</x:f>
      </x:c>
      <x:c r="C91" s="37"/>
      <x:c r="D91" s="37"/>
      <x:c r="E91" s="37"/>
      <x:c r="F91" s="42"/>
      <x:c r="G91" s="37"/>
      <x:c r="H91" s="37"/>
      <x:c r="I91" s="37"/>
      <x:c r="J91" s="42"/>
      <x:c r="K91" s="42"/>
      <x:c r="L91" s="66"/>
      <x:c r="M91" s="67" t="str">
        <x:f>IF(B91="","",COUNTIFS('04_ATTENDANCE'!$E$6:$E$105,B91,'04_ATTENDANCE'!$M$6:$M$105,1))</x:f>
      </x:c>
      <x:c r="N91" s="68" t="str">
        <x:f>IF(B91="","",MAX(0,L91-M91))</x:f>
      </x:c>
      <x:c r="O91" s="67" t="str">
        <x:f>IF(B91="","",SUMIFS('05_SALES_PAYMENTS'!$N$6:$N$105,'05_SALES_PAYMENTS'!$D$6:$D$105,B91))</x:f>
      </x:c>
      <x:c r="P91" s="37"/>
      <x:c r="Q91" s="37"/>
      <x:c r="R91" s="37"/>
      <x:c r="S91" s="37"/>
      <x:c r="T91" s="37"/>
      <x:c r="U91" s="37"/>
      <x:c r="V91" s="37"/>
    </x:row>
    <x:row r="92">
      <x:c r="A92" s="37"/>
      <x:c r="B92" s="59" t="str">
        <x:f>IF(C92="","","MBR-"&amp;TEXT(ROW()-5,"0000"))</x:f>
      </x:c>
      <x:c r="C92" s="37"/>
      <x:c r="D92" s="37"/>
      <x:c r="E92" s="37"/>
      <x:c r="F92" s="42"/>
      <x:c r="G92" s="37"/>
      <x:c r="H92" s="37"/>
      <x:c r="I92" s="37"/>
      <x:c r="J92" s="42"/>
      <x:c r="K92" s="42"/>
      <x:c r="L92" s="66"/>
      <x:c r="M92" s="67" t="str">
        <x:f>IF(B92="","",COUNTIFS('04_ATTENDANCE'!$E$6:$E$105,B92,'04_ATTENDANCE'!$M$6:$M$105,1))</x:f>
      </x:c>
      <x:c r="N92" s="68" t="str">
        <x:f>IF(B92="","",MAX(0,L92-M92))</x:f>
      </x:c>
      <x:c r="O92" s="67" t="str">
        <x:f>IF(B92="","",SUMIFS('05_SALES_PAYMENTS'!$N$6:$N$105,'05_SALES_PAYMENTS'!$D$6:$D$105,B92))</x:f>
      </x:c>
      <x:c r="P92" s="37"/>
      <x:c r="Q92" s="37"/>
      <x:c r="R92" s="37"/>
      <x:c r="S92" s="37"/>
      <x:c r="T92" s="37"/>
      <x:c r="U92" s="37"/>
      <x:c r="V92" s="37"/>
    </x:row>
    <x:row r="93">
      <x:c r="A93" s="37"/>
      <x:c r="B93" s="59" t="str">
        <x:f>IF(C93="","","MBR-"&amp;TEXT(ROW()-5,"0000"))</x:f>
      </x:c>
      <x:c r="C93" s="37"/>
      <x:c r="D93" s="37"/>
      <x:c r="E93" s="37"/>
      <x:c r="F93" s="42"/>
      <x:c r="G93" s="37"/>
      <x:c r="H93" s="37"/>
      <x:c r="I93" s="37"/>
      <x:c r="J93" s="42"/>
      <x:c r="K93" s="42"/>
      <x:c r="L93" s="66"/>
      <x:c r="M93" s="67" t="str">
        <x:f>IF(B93="","",COUNTIFS('04_ATTENDANCE'!$E$6:$E$105,B93,'04_ATTENDANCE'!$M$6:$M$105,1))</x:f>
      </x:c>
      <x:c r="N93" s="68" t="str">
        <x:f>IF(B93="","",MAX(0,L93-M93))</x:f>
      </x:c>
      <x:c r="O93" s="67" t="str">
        <x:f>IF(B93="","",SUMIFS('05_SALES_PAYMENTS'!$N$6:$N$105,'05_SALES_PAYMENTS'!$D$6:$D$105,B93))</x:f>
      </x:c>
      <x:c r="P93" s="37"/>
      <x:c r="Q93" s="37"/>
      <x:c r="R93" s="37"/>
      <x:c r="S93" s="37"/>
      <x:c r="T93" s="37"/>
      <x:c r="U93" s="37"/>
      <x:c r="V93" s="37"/>
    </x:row>
    <x:row r="94">
      <x:c r="A94" s="37"/>
      <x:c r="B94" s="59" t="str">
        <x:f>IF(C94="","","MBR-"&amp;TEXT(ROW()-5,"0000"))</x:f>
      </x:c>
      <x:c r="C94" s="37"/>
      <x:c r="D94" s="37"/>
      <x:c r="E94" s="37"/>
      <x:c r="F94" s="42"/>
      <x:c r="G94" s="37"/>
      <x:c r="H94" s="37"/>
      <x:c r="I94" s="37"/>
      <x:c r="J94" s="42"/>
      <x:c r="K94" s="42"/>
      <x:c r="L94" s="66"/>
      <x:c r="M94" s="67" t="str">
        <x:f>IF(B94="","",COUNTIFS('04_ATTENDANCE'!$E$6:$E$105,B94,'04_ATTENDANCE'!$M$6:$M$105,1))</x:f>
      </x:c>
      <x:c r="N94" s="68" t="str">
        <x:f>IF(B94="","",MAX(0,L94-M94))</x:f>
      </x:c>
      <x:c r="O94" s="67" t="str">
        <x:f>IF(B94="","",SUMIFS('05_SALES_PAYMENTS'!$N$6:$N$105,'05_SALES_PAYMENTS'!$D$6:$D$105,B94))</x:f>
      </x:c>
      <x:c r="P94" s="37"/>
      <x:c r="Q94" s="37"/>
      <x:c r="R94" s="37"/>
      <x:c r="S94" s="37"/>
      <x:c r="T94" s="37"/>
      <x:c r="U94" s="37"/>
      <x:c r="V94" s="37"/>
    </x:row>
    <x:row r="95">
      <x:c r="A95" s="37"/>
      <x:c r="B95" s="59" t="str">
        <x:f>IF(C95="","","MBR-"&amp;TEXT(ROW()-5,"0000"))</x:f>
      </x:c>
      <x:c r="C95" s="37"/>
      <x:c r="D95" s="37"/>
      <x:c r="E95" s="37"/>
      <x:c r="F95" s="42"/>
      <x:c r="G95" s="37"/>
      <x:c r="H95" s="37"/>
      <x:c r="I95" s="37"/>
      <x:c r="J95" s="42"/>
      <x:c r="K95" s="42"/>
      <x:c r="L95" s="66"/>
      <x:c r="M95" s="67" t="str">
        <x:f>IF(B95="","",COUNTIFS('04_ATTENDANCE'!$E$6:$E$105,B95,'04_ATTENDANCE'!$M$6:$M$105,1))</x:f>
      </x:c>
      <x:c r="N95" s="68" t="str">
        <x:f>IF(B95="","",MAX(0,L95-M95))</x:f>
      </x:c>
      <x:c r="O95" s="67" t="str">
        <x:f>IF(B95="","",SUMIFS('05_SALES_PAYMENTS'!$N$6:$N$105,'05_SALES_PAYMENTS'!$D$6:$D$105,B95))</x:f>
      </x:c>
      <x:c r="P95" s="37"/>
      <x:c r="Q95" s="37"/>
      <x:c r="R95" s="37"/>
      <x:c r="S95" s="37"/>
      <x:c r="T95" s="37"/>
      <x:c r="U95" s="37"/>
      <x:c r="V95" s="37"/>
    </x:row>
    <x:row r="96">
      <x:c r="A96" s="37"/>
      <x:c r="B96" s="59" t="str">
        <x:f>IF(C96="","","MBR-"&amp;TEXT(ROW()-5,"0000"))</x:f>
      </x:c>
      <x:c r="C96" s="37"/>
      <x:c r="D96" s="37"/>
      <x:c r="E96" s="37"/>
      <x:c r="F96" s="42"/>
      <x:c r="G96" s="37"/>
      <x:c r="H96" s="37"/>
      <x:c r="I96" s="37"/>
      <x:c r="J96" s="42"/>
      <x:c r="K96" s="42"/>
      <x:c r="L96" s="66"/>
      <x:c r="M96" s="67" t="str">
        <x:f>IF(B96="","",COUNTIFS('04_ATTENDANCE'!$E$6:$E$105,B96,'04_ATTENDANCE'!$M$6:$M$105,1))</x:f>
      </x:c>
      <x:c r="N96" s="68" t="str">
        <x:f>IF(B96="","",MAX(0,L96-M96))</x:f>
      </x:c>
      <x:c r="O96" s="67" t="str">
        <x:f>IF(B96="","",SUMIFS('05_SALES_PAYMENTS'!$N$6:$N$105,'05_SALES_PAYMENTS'!$D$6:$D$105,B96))</x:f>
      </x:c>
      <x:c r="P96" s="37"/>
      <x:c r="Q96" s="37"/>
      <x:c r="R96" s="37"/>
      <x:c r="S96" s="37"/>
      <x:c r="T96" s="37"/>
      <x:c r="U96" s="37"/>
      <x:c r="V96" s="37"/>
    </x:row>
    <x:row r="97">
      <x:c r="A97" s="37"/>
      <x:c r="B97" s="59" t="str">
        <x:f>IF(C97="","","MBR-"&amp;TEXT(ROW()-5,"0000"))</x:f>
      </x:c>
      <x:c r="C97" s="37"/>
      <x:c r="D97" s="37"/>
      <x:c r="E97" s="37"/>
      <x:c r="F97" s="42"/>
      <x:c r="G97" s="37"/>
      <x:c r="H97" s="37"/>
      <x:c r="I97" s="37"/>
      <x:c r="J97" s="42"/>
      <x:c r="K97" s="42"/>
      <x:c r="L97" s="66"/>
      <x:c r="M97" s="67" t="str">
        <x:f>IF(B97="","",COUNTIFS('04_ATTENDANCE'!$E$6:$E$105,B97,'04_ATTENDANCE'!$M$6:$M$105,1))</x:f>
      </x:c>
      <x:c r="N97" s="68" t="str">
        <x:f>IF(B97="","",MAX(0,L97-M97))</x:f>
      </x:c>
      <x:c r="O97" s="67" t="str">
        <x:f>IF(B97="","",SUMIFS('05_SALES_PAYMENTS'!$N$6:$N$105,'05_SALES_PAYMENTS'!$D$6:$D$105,B97))</x:f>
      </x:c>
      <x:c r="P97" s="37"/>
      <x:c r="Q97" s="37"/>
      <x:c r="R97" s="37"/>
      <x:c r="S97" s="37"/>
      <x:c r="T97" s="37"/>
      <x:c r="U97" s="37"/>
      <x:c r="V97" s="37"/>
    </x:row>
    <x:row r="98">
      <x:c r="A98" s="37"/>
      <x:c r="B98" s="59" t="str">
        <x:f>IF(C98="","","MBR-"&amp;TEXT(ROW()-5,"0000"))</x:f>
      </x:c>
      <x:c r="C98" s="37"/>
      <x:c r="D98" s="37"/>
      <x:c r="E98" s="37"/>
      <x:c r="F98" s="42"/>
      <x:c r="G98" s="37"/>
      <x:c r="H98" s="37"/>
      <x:c r="I98" s="37"/>
      <x:c r="J98" s="42"/>
      <x:c r="K98" s="42"/>
      <x:c r="L98" s="66"/>
      <x:c r="M98" s="67" t="str">
        <x:f>IF(B98="","",COUNTIFS('04_ATTENDANCE'!$E$6:$E$105,B98,'04_ATTENDANCE'!$M$6:$M$105,1))</x:f>
      </x:c>
      <x:c r="N98" s="68" t="str">
        <x:f>IF(B98="","",MAX(0,L98-M98))</x:f>
      </x:c>
      <x:c r="O98" s="67" t="str">
        <x:f>IF(B98="","",SUMIFS('05_SALES_PAYMENTS'!$N$6:$N$105,'05_SALES_PAYMENTS'!$D$6:$D$105,B98))</x:f>
      </x:c>
      <x:c r="P98" s="37"/>
      <x:c r="Q98" s="37"/>
      <x:c r="R98" s="37"/>
      <x:c r="S98" s="37"/>
      <x:c r="T98" s="37"/>
      <x:c r="U98" s="37"/>
      <x:c r="V98" s="37"/>
    </x:row>
    <x:row r="99">
      <x:c r="A99" s="37"/>
      <x:c r="B99" s="59" t="str">
        <x:f>IF(C99="","","MBR-"&amp;TEXT(ROW()-5,"0000"))</x:f>
      </x:c>
      <x:c r="C99" s="37"/>
      <x:c r="D99" s="37"/>
      <x:c r="E99" s="37"/>
      <x:c r="F99" s="42"/>
      <x:c r="G99" s="37"/>
      <x:c r="H99" s="37"/>
      <x:c r="I99" s="37"/>
      <x:c r="J99" s="42"/>
      <x:c r="K99" s="42"/>
      <x:c r="L99" s="66"/>
      <x:c r="M99" s="67" t="str">
        <x:f>IF(B99="","",COUNTIFS('04_ATTENDANCE'!$E$6:$E$105,B99,'04_ATTENDANCE'!$M$6:$M$105,1))</x:f>
      </x:c>
      <x:c r="N99" s="68" t="str">
        <x:f>IF(B99="","",MAX(0,L99-M99))</x:f>
      </x:c>
      <x:c r="O99" s="67" t="str">
        <x:f>IF(B99="","",SUMIFS('05_SALES_PAYMENTS'!$N$6:$N$105,'05_SALES_PAYMENTS'!$D$6:$D$105,B99))</x:f>
      </x:c>
      <x:c r="P99" s="37"/>
      <x:c r="Q99" s="37"/>
      <x:c r="R99" s="37"/>
      <x:c r="S99" s="37"/>
      <x:c r="T99" s="37"/>
      <x:c r="U99" s="37"/>
      <x:c r="V99" s="37"/>
    </x:row>
    <x:row r="100">
      <x:c r="A100" s="37"/>
      <x:c r="B100" s="59" t="str">
        <x:f>IF(C100="","","MBR-"&amp;TEXT(ROW()-5,"0000"))</x:f>
      </x:c>
      <x:c r="C100" s="37"/>
      <x:c r="D100" s="37"/>
      <x:c r="E100" s="37"/>
      <x:c r="F100" s="42"/>
      <x:c r="G100" s="37"/>
      <x:c r="H100" s="37"/>
      <x:c r="I100" s="37"/>
      <x:c r="J100" s="42"/>
      <x:c r="K100" s="42"/>
      <x:c r="L100" s="66"/>
      <x:c r="M100" s="67" t="str">
        <x:f>IF(B100="","",COUNTIFS('04_ATTENDANCE'!$E$6:$E$105,B100,'04_ATTENDANCE'!$M$6:$M$105,1))</x:f>
      </x:c>
      <x:c r="N100" s="68" t="str">
        <x:f>IF(B100="","",MAX(0,L100-M100))</x:f>
      </x:c>
      <x:c r="O100" s="67" t="str">
        <x:f>IF(B100="","",SUMIFS('05_SALES_PAYMENTS'!$N$6:$N$105,'05_SALES_PAYMENTS'!$D$6:$D$105,B100))</x:f>
      </x:c>
      <x:c r="P100" s="37"/>
      <x:c r="Q100" s="37"/>
      <x:c r="R100" s="37"/>
      <x:c r="S100" s="37"/>
      <x:c r="T100" s="37"/>
      <x:c r="U100" s="37"/>
      <x:c r="V100" s="37"/>
    </x:row>
    <x:row r="101">
      <x:c r="A101" s="37"/>
      <x:c r="B101" s="59" t="str">
        <x:f>IF(C101="","","MBR-"&amp;TEXT(ROW()-5,"0000"))</x:f>
      </x:c>
      <x:c r="C101" s="37"/>
      <x:c r="D101" s="37"/>
      <x:c r="E101" s="37"/>
      <x:c r="F101" s="42"/>
      <x:c r="G101" s="37"/>
      <x:c r="H101" s="37"/>
      <x:c r="I101" s="37"/>
      <x:c r="J101" s="42"/>
      <x:c r="K101" s="42"/>
      <x:c r="L101" s="66"/>
      <x:c r="M101" s="67" t="str">
        <x:f>IF(B101="","",COUNTIFS('04_ATTENDANCE'!$E$6:$E$105,B101,'04_ATTENDANCE'!$M$6:$M$105,1))</x:f>
      </x:c>
      <x:c r="N101" s="68" t="str">
        <x:f>IF(B101="","",MAX(0,L101-M101))</x:f>
      </x:c>
      <x:c r="O101" s="67" t="str">
        <x:f>IF(B101="","",SUMIFS('05_SALES_PAYMENTS'!$N$6:$N$105,'05_SALES_PAYMENTS'!$D$6:$D$105,B101))</x:f>
      </x:c>
      <x:c r="P101" s="37"/>
      <x:c r="Q101" s="37"/>
      <x:c r="R101" s="37"/>
      <x:c r="S101" s="37"/>
      <x:c r="T101" s="37"/>
      <x:c r="U101" s="37"/>
      <x:c r="V101" s="37"/>
    </x:row>
    <x:row r="102">
      <x:c r="A102" s="37"/>
      <x:c r="B102" s="59" t="str">
        <x:f>IF(C102="","","MBR-"&amp;TEXT(ROW()-5,"0000"))</x:f>
      </x:c>
      <x:c r="C102" s="37"/>
      <x:c r="D102" s="37"/>
      <x:c r="E102" s="37"/>
      <x:c r="F102" s="42"/>
      <x:c r="G102" s="37"/>
      <x:c r="H102" s="37"/>
      <x:c r="I102" s="37"/>
      <x:c r="J102" s="42"/>
      <x:c r="K102" s="42"/>
      <x:c r="L102" s="66"/>
      <x:c r="M102" s="67" t="str">
        <x:f>IF(B102="","",COUNTIFS('04_ATTENDANCE'!$E$6:$E$105,B102,'04_ATTENDANCE'!$M$6:$M$105,1))</x:f>
      </x:c>
      <x:c r="N102" s="68" t="str">
        <x:f>IF(B102="","",MAX(0,L102-M102))</x:f>
      </x:c>
      <x:c r="O102" s="67" t="str">
        <x:f>IF(B102="","",SUMIFS('05_SALES_PAYMENTS'!$N$6:$N$105,'05_SALES_PAYMENTS'!$D$6:$D$105,B102))</x:f>
      </x:c>
      <x:c r="P102" s="37"/>
      <x:c r="Q102" s="37"/>
      <x:c r="R102" s="37"/>
      <x:c r="S102" s="37"/>
      <x:c r="T102" s="37"/>
      <x:c r="U102" s="37"/>
      <x:c r="V102" s="37"/>
    </x:row>
    <x:row r="103">
      <x:c r="A103" s="37"/>
      <x:c r="B103" s="59" t="str">
        <x:f>IF(C103="","","MBR-"&amp;TEXT(ROW()-5,"0000"))</x:f>
      </x:c>
      <x:c r="C103" s="37"/>
      <x:c r="D103" s="37"/>
      <x:c r="E103" s="37"/>
      <x:c r="F103" s="42"/>
      <x:c r="G103" s="37"/>
      <x:c r="H103" s="37"/>
      <x:c r="I103" s="37"/>
      <x:c r="J103" s="42"/>
      <x:c r="K103" s="42"/>
      <x:c r="L103" s="66"/>
      <x:c r="M103" s="67" t="str">
        <x:f>IF(B103="","",COUNTIFS('04_ATTENDANCE'!$E$6:$E$105,B103,'04_ATTENDANCE'!$M$6:$M$105,1))</x:f>
      </x:c>
      <x:c r="N103" s="68" t="str">
        <x:f>IF(B103="","",MAX(0,L103-M103))</x:f>
      </x:c>
      <x:c r="O103" s="67" t="str">
        <x:f>IF(B103="","",SUMIFS('05_SALES_PAYMENTS'!$N$6:$N$105,'05_SALES_PAYMENTS'!$D$6:$D$105,B103))</x:f>
      </x:c>
      <x:c r="P103" s="37"/>
      <x:c r="Q103" s="37"/>
      <x:c r="R103" s="37"/>
      <x:c r="S103" s="37"/>
      <x:c r="T103" s="37"/>
      <x:c r="U103" s="37"/>
      <x:c r="V103" s="37"/>
    </x:row>
    <x:row r="104">
      <x:c r="A104" s="37"/>
      <x:c r="B104" s="59" t="str">
        <x:f>IF(C104="","","MBR-"&amp;TEXT(ROW()-5,"0000"))</x:f>
      </x:c>
      <x:c r="C104" s="37"/>
      <x:c r="D104" s="37"/>
      <x:c r="E104" s="37"/>
      <x:c r="F104" s="42"/>
      <x:c r="G104" s="37"/>
      <x:c r="H104" s="37"/>
      <x:c r="I104" s="37"/>
      <x:c r="J104" s="42"/>
      <x:c r="K104" s="42"/>
      <x:c r="L104" s="66"/>
      <x:c r="M104" s="67" t="str">
        <x:f>IF(B104="","",COUNTIFS('04_ATTENDANCE'!$E$6:$E$105,B104,'04_ATTENDANCE'!$M$6:$M$105,1))</x:f>
      </x:c>
      <x:c r="N104" s="68" t="str">
        <x:f>IF(B104="","",MAX(0,L104-M104))</x:f>
      </x:c>
      <x:c r="O104" s="67" t="str">
        <x:f>IF(B104="","",SUMIFS('05_SALES_PAYMENTS'!$N$6:$N$105,'05_SALES_PAYMENTS'!$D$6:$D$105,B104))</x:f>
      </x:c>
      <x:c r="P104" s="37"/>
      <x:c r="Q104" s="37"/>
      <x:c r="R104" s="37"/>
      <x:c r="S104" s="37"/>
      <x:c r="T104" s="37"/>
      <x:c r="U104" s="37"/>
      <x:c r="V104" s="37"/>
    </x:row>
    <x:row r="105">
      <x:c r="A105" s="37"/>
      <x:c r="B105" s="59" t="str">
        <x:f>IF(C105="","","MBR-"&amp;TEXT(ROW()-5,"0000"))</x:f>
      </x:c>
      <x:c r="C105" s="37"/>
      <x:c r="D105" s="37"/>
      <x:c r="E105" s="37"/>
      <x:c r="F105" s="42"/>
      <x:c r="G105" s="37"/>
      <x:c r="H105" s="37"/>
      <x:c r="I105" s="37"/>
      <x:c r="J105" s="42"/>
      <x:c r="K105" s="42"/>
      <x:c r="L105" s="66"/>
      <x:c r="M105" s="67" t="str">
        <x:f>IF(B105="","",COUNTIFS('04_ATTENDANCE'!$E$6:$E$105,B105,'04_ATTENDANCE'!$M$6:$M$105,1))</x:f>
      </x:c>
      <x:c r="N105" s="68" t="str">
        <x:f>IF(B105="","",MAX(0,L105-M105))</x:f>
      </x:c>
      <x:c r="O105" s="67" t="str">
        <x:f>IF(B105="","",SUMIFS('05_SALES_PAYMENTS'!$N$6:$N$105,'05_SALES_PAYMENTS'!$D$6:$D$105,B105))</x:f>
      </x:c>
      <x:c r="P105" s="37"/>
      <x:c r="Q105" s="37"/>
      <x:c r="R105" s="37"/>
      <x:c r="S105" s="37"/>
      <x:c r="T105" s="37"/>
      <x:c r="U105" s="37"/>
      <x:c r="V105" s="37"/>
    </x:row>
  </x:sheetData>
  <x:mergeCells>
    <x:mergeCell ref="A1:V1"/>
    <x:mergeCell ref="A2:V2"/>
    <x:mergeCell ref="A4:V4"/>
  </x:mergeCells>
  <x:conditionalFormatting sqref="K6:K105">
    <x:cfRule type="expression" dxfId="0" priority="1">
      <x:formula>AND($K6&lt;&gt;"",$K6&lt;TODAY(),$I6="Active")</x:formula>
    </x:cfRule>
  </x:conditionalFormatting>
  <x:dataValidations count="7">
    <x:dataValidation type="list" sqref="A6:A105">
      <x:formula1>99_SETTINGS!$D$19:$D$20</x:formula1>
    </x:dataValidation>
    <x:dataValidation type="list" sqref="G6:G105">
      <x:formula1>99_SETTINGS!$D$5:$D$8</x:formula1>
    </x:dataValidation>
    <x:dataValidation type="list" sqref="H6:H105">
      <x:formula1>99_SETTINGS!$E$5:$E$11</x:formula1>
    </x:dataValidation>
    <x:dataValidation type="list" sqref="I6:I105">
      <x:formula1>99_SETTINGS!$F$5:$F$10</x:formula1>
    </x:dataValidation>
    <x:dataValidation type="list" sqref="P6:P105">
      <x:formula1>'09_STAFF'!$C$6:$C$105</x:formula1>
    </x:dataValidation>
    <x:dataValidation type="list" sqref="T6:T105">
      <x:formula1>99_SETTINGS!$N$19:$N$22</x:formula1>
    </x:dataValidation>
    <x:dataValidation type="list" sqref="U6:U105">
      <x:formula1>99_SETTINGS!$L$5:$L$14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b7ac44cf0449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1" hidden="0" customWidth="1"/>
    <x:col min="5" max="5" width="11" hidden="0" customWidth="1"/>
    <x:col min="6" max="6" width="18" hidden="0" customWidth="1"/>
    <x:col min="7" max="7" width="16" hidden="0" customWidth="1"/>
    <x:col min="8" max="8" width="24" hidden="0" customWidth="1"/>
    <x:col min="9" max="9" width="15" hidden="0" customWidth="1"/>
    <x:col min="10" max="10" width="14" hidden="0" customWidth="1"/>
    <x:col min="11" max="11" width="23" hidden="0" customWidth="1"/>
    <x:col min="12" max="12" width="11" hidden="0" customWidth="1"/>
    <x:col min="13" max="13" width="14" hidden="0" customWidth="1"/>
    <x:col min="14" max="14" width="30" hidden="0" customWidth="1"/>
  </x:cols>
  <x:sheetData>
    <x:row r="1" ht="34" customHeight="1">
      <x:c r="A1" s="4" t="str">
        <x:v>CLASS SCHEDULE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10" t="str">
        <x:v>One row per class. Attendance records use the Class ID.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53" t="str">
        <x:v>Yellow = staff input | Grey/green = automatic calculation | Demo rows can be replaced with real data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</x:row>
    <x:row r="5" ht="34" customHeight="1">
      <x:c r="A5" s="18" t="str">
        <x:v>Record Type</x:v>
      </x:c>
      <x:c r="B5" s="18" t="str">
        <x:v>Class ID</x:v>
      </x:c>
      <x:c r="C5" s="18" t="str">
        <x:v>Class Date</x:v>
      </x:c>
      <x:c r="D5" s="18" t="str">
        <x:v>Start Time</x:v>
      </x:c>
      <x:c r="E5" s="18" t="str">
        <x:v>End Time</x:v>
      </x:c>
      <x:c r="F5" s="18" t="str">
        <x:v>Branch</x:v>
      </x:c>
      <x:c r="G5" s="18" t="str">
        <x:v>Room / Studio</x:v>
      </x:c>
      <x:c r="H5" s="18" t="str">
        <x:v>Class Type</x:v>
      </x:c>
      <x:c r="I5" s="18" t="str">
        <x:v>Level</x:v>
      </x:c>
      <x:c r="J5" s="18" t="str">
        <x:v>Instructor ID</x:v>
      </x:c>
      <x:c r="K5" s="18" t="str">
        <x:v>Instructor Name</x:v>
      </x:c>
      <x:c r="L5" s="18" t="str">
        <x:v>Capacity</x:v>
      </x:c>
      <x:c r="M5" s="18" t="str">
        <x:v>Status</x:v>
      </x:c>
      <x:c r="N5" s="18" t="str">
        <x:v>Notes</x:v>
      </x:c>
    </x:row>
    <x:row r="6">
      <x:c r="A6" s="37" t="str">
        <x:v>DEMO</x:v>
      </x:c>
      <x:c r="B6" s="59" t="str">
        <x:f>IF(C6="","","CLS-"&amp;TEXT(C6,"yymmdd")&amp;"-"&amp;TEXT(ROW()-5,"0000"))</x:f>
        <x:v>CLS-260105-0001</x:v>
      </x:c>
      <x:c r="C6" s="42" t="n">
        <x:v>46027</x:v>
      </x:c>
      <x:c r="D6" s="72" t="n">
        <x:v>0.2916666666666667</x:v>
      </x:c>
      <x:c r="E6" s="72" t="n">
        <x:v>0.3333333333333333</x:v>
      </x:c>
      <x:c r="F6" s="37" t="str">
        <x:v>Main Studio</x:v>
      </x:c>
      <x:c r="G6" s="37" t="str">
        <x:v>Studio A</x:v>
      </x:c>
      <x:c r="H6" s="37" t="str">
        <x:v>Reformer Beginner</x:v>
      </x:c>
      <x:c r="I6" s="37" t="str">
        <x:v>Beginner</x:v>
      </x:c>
      <x:c r="J6" s="37" t="str">
        <x:v>STF-002</x:v>
      </x:c>
      <x:c r="K6" s="63" t="str">
        <x:f>IFERROR(INDEX('09_STAFF'!$C$6:$C$105,MATCH(J6,'09_STAFF'!$B$6:$B$105,0)),"")</x:f>
        <x:v>Maya Gurung</x:v>
      </x:c>
      <x:c r="L6" s="37" t="n">
        <x:v>8</x:v>
      </x:c>
      <x:c r="M6" s="37" t="str">
        <x:v>Completed</x:v>
      </x:c>
      <x:c r="N6" s="37" t="str">
        <x:v>Demo class</x:v>
      </x:c>
    </x:row>
    <x:row r="7">
      <x:c r="A7" s="37" t="str">
        <x:v>DEMO</x:v>
      </x:c>
      <x:c r="B7" s="59" t="str">
        <x:f>IF(C7="","","CLS-"&amp;TEXT(C7,"yymmdd")&amp;"-"&amp;TEXT(ROW()-5,"0000"))</x:f>
        <x:v>CLS-260112-0002</x:v>
      </x:c>
      <x:c r="C7" s="42" t="n">
        <x:v>46034</x:v>
      </x:c>
      <x:c r="D7" s="72" t="n">
        <x:v>0.2916666666666667</x:v>
      </x:c>
      <x:c r="E7" s="72" t="n">
        <x:v>0.3333333333333333</x:v>
      </x:c>
      <x:c r="F7" s="37" t="str">
        <x:v>Main Studio</x:v>
      </x:c>
      <x:c r="G7" s="37" t="str">
        <x:v>Studio A</x:v>
      </x:c>
      <x:c r="H7" s="37" t="str">
        <x:v>Reformer Intermediate</x:v>
      </x:c>
      <x:c r="I7" s="37" t="str">
        <x:v>All Levels</x:v>
      </x:c>
      <x:c r="J7" s="37" t="str">
        <x:v>STF-003</x:v>
      </x:c>
      <x:c r="K7" s="63" t="str">
        <x:f>IFERROR(INDEX('09_STAFF'!$C$6:$C$105,MATCH(J7,'09_STAFF'!$B$6:$B$105,0)),"")</x:f>
        <x:v>Riya Thapa</x:v>
      </x:c>
      <x:c r="L7" s="37" t="n">
        <x:v>8</x:v>
      </x:c>
      <x:c r="M7" s="37" t="str">
        <x:v>Completed</x:v>
      </x:c>
      <x:c r="N7" s="37" t="str">
        <x:v>Demo class</x:v>
      </x:c>
    </x:row>
    <x:row r="8">
      <x:c r="A8" s="37" t="str">
        <x:v>DEMO</x:v>
      </x:c>
      <x:c r="B8" s="59" t="str">
        <x:f>IF(C8="","","CLS-"&amp;TEXT(C8,"yymmdd")&amp;"-"&amp;TEXT(ROW()-5,"0000"))</x:f>
        <x:v>CLS-260119-0003</x:v>
      </x:c>
      <x:c r="C8" s="42" t="n">
        <x:v>46041</x:v>
      </x:c>
      <x:c r="D8" s="72" t="n">
        <x:v>0.2916666666666667</x:v>
      </x:c>
      <x:c r="E8" s="72" t="n">
        <x:v>0.3333333333333333</x:v>
      </x:c>
      <x:c r="F8" s="37" t="str">
        <x:v>Main Studio</x:v>
      </x:c>
      <x:c r="G8" s="37" t="str">
        <x:v>Studio A</x:v>
      </x:c>
      <x:c r="H8" s="37" t="str">
        <x:v>Mat Pilates</x:v>
      </x:c>
      <x:c r="I8" s="37" t="str">
        <x:v>Intermediate</x:v>
      </x:c>
      <x:c r="J8" s="37" t="str">
        <x:v>STF-002</x:v>
      </x:c>
      <x:c r="K8" s="63" t="str">
        <x:f>IFERROR(INDEX('09_STAFF'!$C$6:$C$105,MATCH(J8,'09_STAFF'!$B$6:$B$105,0)),"")</x:f>
        <x:v>Maya Gurung</x:v>
      </x:c>
      <x:c r="L8" s="37" t="n">
        <x:v>8</x:v>
      </x:c>
      <x:c r="M8" s="37" t="str">
        <x:v>Completed</x:v>
      </x:c>
      <x:c r="N8" s="37" t="str">
        <x:v>Demo class</x:v>
      </x:c>
    </x:row>
    <x:row r="9">
      <x:c r="A9" s="37" t="str">
        <x:v>DEMO</x:v>
      </x:c>
      <x:c r="B9" s="59" t="str">
        <x:f>IF(C9="","","CLS-"&amp;TEXT(C9,"yymmdd")&amp;"-"&amp;TEXT(ROW()-5,"0000"))</x:f>
        <x:v>CLS-260126-0004</x:v>
      </x:c>
      <x:c r="C9" s="42" t="n">
        <x:v>46048</x:v>
      </x:c>
      <x:c r="D9" s="72" t="n">
        <x:v>0.2916666666666667</x:v>
      </x:c>
      <x:c r="E9" s="72" t="n">
        <x:v>0.3333333333333333</x:v>
      </x:c>
      <x:c r="F9" s="37" t="str">
        <x:v>Main Studio</x:v>
      </x:c>
      <x:c r="G9" s="37" t="str">
        <x:v>Studio A</x:v>
      </x:c>
      <x:c r="H9" s="37" t="str">
        <x:v>Reformer Beginner</x:v>
      </x:c>
      <x:c r="I9" s="37" t="str">
        <x:v>Beginner</x:v>
      </x:c>
      <x:c r="J9" s="37" t="str">
        <x:v>STF-003</x:v>
      </x:c>
      <x:c r="K9" s="63" t="str">
        <x:f>IFERROR(INDEX('09_STAFF'!$C$6:$C$105,MATCH(J9,'09_STAFF'!$B$6:$B$105,0)),"")</x:f>
        <x:v>Riya Thapa</x:v>
      </x:c>
      <x:c r="L9" s="37" t="n">
        <x:v>8</x:v>
      </x:c>
      <x:c r="M9" s="37" t="str">
        <x:v>Completed</x:v>
      </x:c>
      <x:c r="N9" s="37" t="str">
        <x:v>Demo class</x:v>
      </x:c>
    </x:row>
    <x:row r="10">
      <x:c r="A10" s="37" t="str">
        <x:v>DEMO</x:v>
      </x:c>
      <x:c r="B10" s="59" t="str">
        <x:f>IF(C10="","","CLS-"&amp;TEXT(C10,"yymmdd")&amp;"-"&amp;TEXT(ROW()-5,"0000"))</x:f>
        <x:v>CLS-260202-0005</x:v>
      </x:c>
      <x:c r="C10" s="42" t="n">
        <x:v>46055</x:v>
      </x:c>
      <x:c r="D10" s="72" t="n">
        <x:v>0.2916666666666667</x:v>
      </x:c>
      <x:c r="E10" s="72" t="n">
        <x:v>0.3333333333333333</x:v>
      </x:c>
      <x:c r="F10" s="37" t="str">
        <x:v>Main Studio</x:v>
      </x:c>
      <x:c r="G10" s="37" t="str">
        <x:v>Studio A</x:v>
      </x:c>
      <x:c r="H10" s="37" t="str">
        <x:v>Reformer Intermediate</x:v>
      </x:c>
      <x:c r="I10" s="37" t="str">
        <x:v>All Levels</x:v>
      </x:c>
      <x:c r="J10" s="37" t="str">
        <x:v>STF-002</x:v>
      </x:c>
      <x:c r="K10" s="63" t="str">
        <x:f>IFERROR(INDEX('09_STAFF'!$C$6:$C$105,MATCH(J10,'09_STAFF'!$B$6:$B$105,0)),"")</x:f>
        <x:v>Maya Gurung</x:v>
      </x:c>
      <x:c r="L10" s="37" t="n">
        <x:v>8</x:v>
      </x:c>
      <x:c r="M10" s="37" t="str">
        <x:v>Completed</x:v>
      </x:c>
      <x:c r="N10" s="37" t="str">
        <x:v>Demo class</x:v>
      </x:c>
    </x:row>
    <x:row r="11">
      <x:c r="A11" s="37" t="str">
        <x:v>DEMO</x:v>
      </x:c>
      <x:c r="B11" s="59" t="str">
        <x:f>IF(C11="","","CLS-"&amp;TEXT(C11,"yymmdd")&amp;"-"&amp;TEXT(ROW()-5,"0000"))</x:f>
        <x:v>CLS-260209-0006</x:v>
      </x:c>
      <x:c r="C11" s="42" t="n">
        <x:v>46062</x:v>
      </x:c>
      <x:c r="D11" s="72" t="n">
        <x:v>0.2916666666666667</x:v>
      </x:c>
      <x:c r="E11" s="72" t="n">
        <x:v>0.3333333333333333</x:v>
      </x:c>
      <x:c r="F11" s="37" t="str">
        <x:v>Main Studio</x:v>
      </x:c>
      <x:c r="G11" s="37" t="str">
        <x:v>Studio A</x:v>
      </x:c>
      <x:c r="H11" s="37" t="str">
        <x:v>Mat Pilates</x:v>
      </x:c>
      <x:c r="I11" s="37" t="str">
        <x:v>Intermediate</x:v>
      </x:c>
      <x:c r="J11" s="37" t="str">
        <x:v>STF-003</x:v>
      </x:c>
      <x:c r="K11" s="63" t="str">
        <x:f>IFERROR(INDEX('09_STAFF'!$C$6:$C$105,MATCH(J11,'09_STAFF'!$B$6:$B$105,0)),"")</x:f>
        <x:v>Riya Thapa</x:v>
      </x:c>
      <x:c r="L11" s="37" t="n">
        <x:v>8</x:v>
      </x:c>
      <x:c r="M11" s="37" t="str">
        <x:v>Completed</x:v>
      </x:c>
      <x:c r="N11" s="37" t="str">
        <x:v>Demo class</x:v>
      </x:c>
    </x:row>
    <x:row r="12">
      <x:c r="A12" s="37" t="str">
        <x:v>DEMO</x:v>
      </x:c>
      <x:c r="B12" s="59" t="str">
        <x:f>IF(C12="","","CLS-"&amp;TEXT(C12,"yymmdd")&amp;"-"&amp;TEXT(ROW()-5,"0000"))</x:f>
        <x:v>CLS-260216-0007</x:v>
      </x:c>
      <x:c r="C12" s="42" t="n">
        <x:v>46069</x:v>
      </x:c>
      <x:c r="D12" s="72" t="n">
        <x:v>0.2916666666666667</x:v>
      </x:c>
      <x:c r="E12" s="72" t="n">
        <x:v>0.3333333333333333</x:v>
      </x:c>
      <x:c r="F12" s="37" t="str">
        <x:v>Main Studio</x:v>
      </x:c>
      <x:c r="G12" s="37" t="str">
        <x:v>Studio A</x:v>
      </x:c>
      <x:c r="H12" s="37" t="str">
        <x:v>Reformer Beginner</x:v>
      </x:c>
      <x:c r="I12" s="37" t="str">
        <x:v>Beginner</x:v>
      </x:c>
      <x:c r="J12" s="37" t="str">
        <x:v>STF-002</x:v>
      </x:c>
      <x:c r="K12" s="63" t="str">
        <x:f>IFERROR(INDEX('09_STAFF'!$C$6:$C$105,MATCH(J12,'09_STAFF'!$B$6:$B$105,0)),"")</x:f>
        <x:v>Maya Gurung</x:v>
      </x:c>
      <x:c r="L12" s="37" t="n">
        <x:v>8</x:v>
      </x:c>
      <x:c r="M12" s="37" t="str">
        <x:v>Completed</x:v>
      </x:c>
      <x:c r="N12" s="37" t="str">
        <x:v>Demo class</x:v>
      </x:c>
    </x:row>
    <x:row r="13">
      <x:c r="A13" s="37" t="str">
        <x:v>DEMO</x:v>
      </x:c>
      <x:c r="B13" s="59" t="str">
        <x:f>IF(C13="","","CLS-"&amp;TEXT(C13,"yymmdd")&amp;"-"&amp;TEXT(ROW()-5,"0000"))</x:f>
        <x:v>CLS-260223-0008</x:v>
      </x:c>
      <x:c r="C13" s="42" t="n">
        <x:v>46076</x:v>
      </x:c>
      <x:c r="D13" s="72" t="n">
        <x:v>0.2916666666666667</x:v>
      </x:c>
      <x:c r="E13" s="72" t="n">
        <x:v>0.3333333333333333</x:v>
      </x:c>
      <x:c r="F13" s="37" t="str">
        <x:v>Main Studio</x:v>
      </x:c>
      <x:c r="G13" s="37" t="str">
        <x:v>Studio A</x:v>
      </x:c>
      <x:c r="H13" s="37" t="str">
        <x:v>Reformer Intermediate</x:v>
      </x:c>
      <x:c r="I13" s="37" t="str">
        <x:v>All Levels</x:v>
      </x:c>
      <x:c r="J13" s="37" t="str">
        <x:v>STF-003</x:v>
      </x:c>
      <x:c r="K13" s="63" t="str">
        <x:f>IFERROR(INDEX('09_STAFF'!$C$6:$C$105,MATCH(J13,'09_STAFF'!$B$6:$B$105,0)),"")</x:f>
        <x:v>Riya Thapa</x:v>
      </x:c>
      <x:c r="L13" s="37" t="n">
        <x:v>8</x:v>
      </x:c>
      <x:c r="M13" s="37" t="str">
        <x:v>Completed</x:v>
      </x:c>
      <x:c r="N13" s="37" t="str">
        <x:v>Demo class</x:v>
      </x:c>
    </x:row>
    <x:row r="14">
      <x:c r="A14" s="37" t="str">
        <x:v>DEMO</x:v>
      </x:c>
      <x:c r="B14" s="59" t="str">
        <x:f>IF(C14="","","CLS-"&amp;TEXT(C14,"yymmdd")&amp;"-"&amp;TEXT(ROW()-5,"0000"))</x:f>
        <x:v>CLS-260302-0009</x:v>
      </x:c>
      <x:c r="C14" s="42" t="n">
        <x:v>46083</x:v>
      </x:c>
      <x:c r="D14" s="72" t="n">
        <x:v>0.2916666666666667</x:v>
      </x:c>
      <x:c r="E14" s="72" t="n">
        <x:v>0.3333333333333333</x:v>
      </x:c>
      <x:c r="F14" s="37" t="str">
        <x:v>Main Studio</x:v>
      </x:c>
      <x:c r="G14" s="37" t="str">
        <x:v>Studio A</x:v>
      </x:c>
      <x:c r="H14" s="37" t="str">
        <x:v>Mat Pilates</x:v>
      </x:c>
      <x:c r="I14" s="37" t="str">
        <x:v>Intermediate</x:v>
      </x:c>
      <x:c r="J14" s="37" t="str">
        <x:v>STF-002</x:v>
      </x:c>
      <x:c r="K14" s="63" t="str">
        <x:f>IFERROR(INDEX('09_STAFF'!$C$6:$C$105,MATCH(J14,'09_STAFF'!$B$6:$B$105,0)),"")</x:f>
        <x:v>Maya Gurung</x:v>
      </x:c>
      <x:c r="L14" s="37" t="n">
        <x:v>8</x:v>
      </x:c>
      <x:c r="M14" s="37" t="str">
        <x:v>Completed</x:v>
      </x:c>
      <x:c r="N14" s="37" t="str">
        <x:v>Demo class</x:v>
      </x:c>
    </x:row>
    <x:row r="15">
      <x:c r="A15" s="37" t="str">
        <x:v>DEMO</x:v>
      </x:c>
      <x:c r="B15" s="59" t="str">
        <x:f>IF(C15="","","CLS-"&amp;TEXT(C15,"yymmdd")&amp;"-"&amp;TEXT(ROW()-5,"0000"))</x:f>
        <x:v>CLS-260309-0010</x:v>
      </x:c>
      <x:c r="C15" s="42" t="n">
        <x:v>46090</x:v>
      </x:c>
      <x:c r="D15" s="72" t="n">
        <x:v>0.2916666666666667</x:v>
      </x:c>
      <x:c r="E15" s="72" t="n">
        <x:v>0.3333333333333333</x:v>
      </x:c>
      <x:c r="F15" s="37" t="str">
        <x:v>Main Studio</x:v>
      </x:c>
      <x:c r="G15" s="37" t="str">
        <x:v>Studio A</x:v>
      </x:c>
      <x:c r="H15" s="37" t="str">
        <x:v>Reformer Beginner</x:v>
      </x:c>
      <x:c r="I15" s="37" t="str">
        <x:v>Beginner</x:v>
      </x:c>
      <x:c r="J15" s="37" t="str">
        <x:v>STF-003</x:v>
      </x:c>
      <x:c r="K15" s="63" t="str">
        <x:f>IFERROR(INDEX('09_STAFF'!$C$6:$C$105,MATCH(J15,'09_STAFF'!$B$6:$B$105,0)),"")</x:f>
        <x:v>Riya Thapa</x:v>
      </x:c>
      <x:c r="L15" s="37" t="n">
        <x:v>8</x:v>
      </x:c>
      <x:c r="M15" s="37" t="str">
        <x:v>Completed</x:v>
      </x:c>
      <x:c r="N15" s="37" t="str">
        <x:v>Demo class</x:v>
      </x:c>
    </x:row>
    <x:row r="16">
      <x:c r="A16" s="37" t="str">
        <x:v>DEMO</x:v>
      </x:c>
      <x:c r="B16" s="59" t="str">
        <x:f>IF(C16="","","CLS-"&amp;TEXT(C16,"yymmdd")&amp;"-"&amp;TEXT(ROW()-5,"0000"))</x:f>
        <x:v>CLS-260316-0011</x:v>
      </x:c>
      <x:c r="C16" s="42" t="n">
        <x:v>46097</x:v>
      </x:c>
      <x:c r="D16" s="72" t="n">
        <x:v>0.2916666666666667</x:v>
      </x:c>
      <x:c r="E16" s="72" t="n">
        <x:v>0.3333333333333333</x:v>
      </x:c>
      <x:c r="F16" s="37" t="str">
        <x:v>Main Studio</x:v>
      </x:c>
      <x:c r="G16" s="37" t="str">
        <x:v>Studio A</x:v>
      </x:c>
      <x:c r="H16" s="37" t="str">
        <x:v>Reformer Intermediate</x:v>
      </x:c>
      <x:c r="I16" s="37" t="str">
        <x:v>All Levels</x:v>
      </x:c>
      <x:c r="J16" s="37" t="str">
        <x:v>STF-002</x:v>
      </x:c>
      <x:c r="K16" s="63" t="str">
        <x:f>IFERROR(INDEX('09_STAFF'!$C$6:$C$105,MATCH(J16,'09_STAFF'!$B$6:$B$105,0)),"")</x:f>
        <x:v>Maya Gurung</x:v>
      </x:c>
      <x:c r="L16" s="37" t="n">
        <x:v>8</x:v>
      </x:c>
      <x:c r="M16" s="37" t="str">
        <x:v>Completed</x:v>
      </x:c>
      <x:c r="N16" s="37" t="str">
        <x:v>Demo class</x:v>
      </x:c>
    </x:row>
    <x:row r="17">
      <x:c r="A17" s="37" t="str">
        <x:v>DEMO</x:v>
      </x:c>
      <x:c r="B17" s="59" t="str">
        <x:f>IF(C17="","","CLS-"&amp;TEXT(C17,"yymmdd")&amp;"-"&amp;TEXT(ROW()-5,"0000"))</x:f>
        <x:v>CLS-260323-0012</x:v>
      </x:c>
      <x:c r="C17" s="42" t="n">
        <x:v>46104</x:v>
      </x:c>
      <x:c r="D17" s="72" t="n">
        <x:v>0.2916666666666667</x:v>
      </x:c>
      <x:c r="E17" s="72" t="n">
        <x:v>0.3333333333333333</x:v>
      </x:c>
      <x:c r="F17" s="37" t="str">
        <x:v>Main Studio</x:v>
      </x:c>
      <x:c r="G17" s="37" t="str">
        <x:v>Studio A</x:v>
      </x:c>
      <x:c r="H17" s="37" t="str">
        <x:v>Mat Pilates</x:v>
      </x:c>
      <x:c r="I17" s="37" t="str">
        <x:v>Intermediate</x:v>
      </x:c>
      <x:c r="J17" s="37" t="str">
        <x:v>STF-003</x:v>
      </x:c>
      <x:c r="K17" s="63" t="str">
        <x:f>IFERROR(INDEX('09_STAFF'!$C$6:$C$105,MATCH(J17,'09_STAFF'!$B$6:$B$105,0)),"")</x:f>
        <x:v>Riya Thapa</x:v>
      </x:c>
      <x:c r="L17" s="37" t="n">
        <x:v>8</x:v>
      </x:c>
      <x:c r="M17" s="37" t="str">
        <x:v>Completed</x:v>
      </x:c>
      <x:c r="N17" s="37" t="str">
        <x:v>Demo class</x:v>
      </x:c>
    </x:row>
    <x:row r="18">
      <x:c r="A18" s="37" t="str">
        <x:v>DEMO</x:v>
      </x:c>
      <x:c r="B18" s="59" t="str">
        <x:f>IF(C18="","","CLS-"&amp;TEXT(C18,"yymmdd")&amp;"-"&amp;TEXT(ROW()-5,"0000"))</x:f>
        <x:v>CLS-260330-0013</x:v>
      </x:c>
      <x:c r="C18" s="42" t="n">
        <x:v>46111</x:v>
      </x:c>
      <x:c r="D18" s="72" t="n">
        <x:v>0.2916666666666667</x:v>
      </x:c>
      <x:c r="E18" s="72" t="n">
        <x:v>0.3333333333333333</x:v>
      </x:c>
      <x:c r="F18" s="37" t="str">
        <x:v>Main Studio</x:v>
      </x:c>
      <x:c r="G18" s="37" t="str">
        <x:v>Studio A</x:v>
      </x:c>
      <x:c r="H18" s="37" t="str">
        <x:v>Reformer Beginner</x:v>
      </x:c>
      <x:c r="I18" s="37" t="str">
        <x:v>Beginner</x:v>
      </x:c>
      <x:c r="J18" s="37" t="str">
        <x:v>STF-002</x:v>
      </x:c>
      <x:c r="K18" s="63" t="str">
        <x:f>IFERROR(INDEX('09_STAFF'!$C$6:$C$105,MATCH(J18,'09_STAFF'!$B$6:$B$105,0)),"")</x:f>
        <x:v>Maya Gurung</x:v>
      </x:c>
      <x:c r="L18" s="37" t="n">
        <x:v>8</x:v>
      </x:c>
      <x:c r="M18" s="37" t="str">
        <x:v>Completed</x:v>
      </x:c>
      <x:c r="N18" s="37" t="str">
        <x:v>Demo class</x:v>
      </x:c>
    </x:row>
    <x:row r="19">
      <x:c r="A19" s="37" t="str">
        <x:v>DEMO</x:v>
      </x:c>
      <x:c r="B19" s="59" t="str">
        <x:f>IF(C19="","","CLS-"&amp;TEXT(C19,"yymmdd")&amp;"-"&amp;TEXT(ROW()-5,"0000"))</x:f>
        <x:v>CLS-260406-0014</x:v>
      </x:c>
      <x:c r="C19" s="42" t="n">
        <x:v>46118</x:v>
      </x:c>
      <x:c r="D19" s="72" t="n">
        <x:v>0.2916666666666667</x:v>
      </x:c>
      <x:c r="E19" s="72" t="n">
        <x:v>0.3333333333333333</x:v>
      </x:c>
      <x:c r="F19" s="37" t="str">
        <x:v>Main Studio</x:v>
      </x:c>
      <x:c r="G19" s="37" t="str">
        <x:v>Studio A</x:v>
      </x:c>
      <x:c r="H19" s="37" t="str">
        <x:v>Reformer Intermediate</x:v>
      </x:c>
      <x:c r="I19" s="37" t="str">
        <x:v>All Levels</x:v>
      </x:c>
      <x:c r="J19" s="37" t="str">
        <x:v>STF-003</x:v>
      </x:c>
      <x:c r="K19" s="63" t="str">
        <x:f>IFERROR(INDEX('09_STAFF'!$C$6:$C$105,MATCH(J19,'09_STAFF'!$B$6:$B$105,0)),"")</x:f>
        <x:v>Riya Thapa</x:v>
      </x:c>
      <x:c r="L19" s="37" t="n">
        <x:v>8</x:v>
      </x:c>
      <x:c r="M19" s="37" t="str">
        <x:v>Completed</x:v>
      </x:c>
      <x:c r="N19" s="37" t="str">
        <x:v>Demo class</x:v>
      </x:c>
    </x:row>
    <x:row r="20">
      <x:c r="A20" s="37" t="str">
        <x:v>DEMO</x:v>
      </x:c>
      <x:c r="B20" s="59" t="str">
        <x:f>IF(C20="","","CLS-"&amp;TEXT(C20,"yymmdd")&amp;"-"&amp;TEXT(ROW()-5,"0000"))</x:f>
        <x:v>CLS-260413-0015</x:v>
      </x:c>
      <x:c r="C20" s="42" t="n">
        <x:v>46125</x:v>
      </x:c>
      <x:c r="D20" s="72" t="n">
        <x:v>0.2916666666666667</x:v>
      </x:c>
      <x:c r="E20" s="72" t="n">
        <x:v>0.3333333333333333</x:v>
      </x:c>
      <x:c r="F20" s="37" t="str">
        <x:v>Main Studio</x:v>
      </x:c>
      <x:c r="G20" s="37" t="str">
        <x:v>Studio A</x:v>
      </x:c>
      <x:c r="H20" s="37" t="str">
        <x:v>Mat Pilates</x:v>
      </x:c>
      <x:c r="I20" s="37" t="str">
        <x:v>Intermediate</x:v>
      </x:c>
      <x:c r="J20" s="37" t="str">
        <x:v>STF-002</x:v>
      </x:c>
      <x:c r="K20" s="63" t="str">
        <x:f>IFERROR(INDEX('09_STAFF'!$C$6:$C$105,MATCH(J20,'09_STAFF'!$B$6:$B$105,0)),"")</x:f>
        <x:v>Maya Gurung</x:v>
      </x:c>
      <x:c r="L20" s="37" t="n">
        <x:v>8</x:v>
      </x:c>
      <x:c r="M20" s="37" t="str">
        <x:v>Completed</x:v>
      </x:c>
      <x:c r="N20" s="37" t="str">
        <x:v>Demo class</x:v>
      </x:c>
    </x:row>
    <x:row r="21">
      <x:c r="A21" s="37" t="str">
        <x:v>DEMO</x:v>
      </x:c>
      <x:c r="B21" s="59" t="str">
        <x:f>IF(C21="","","CLS-"&amp;TEXT(C21,"yymmdd")&amp;"-"&amp;TEXT(ROW()-5,"0000"))</x:f>
        <x:v>CLS-260420-0016</x:v>
      </x:c>
      <x:c r="C21" s="42" t="n">
        <x:v>46132</x:v>
      </x:c>
      <x:c r="D21" s="72" t="n">
        <x:v>0.2916666666666667</x:v>
      </x:c>
      <x:c r="E21" s="72" t="n">
        <x:v>0.3333333333333333</x:v>
      </x:c>
      <x:c r="F21" s="37" t="str">
        <x:v>Main Studio</x:v>
      </x:c>
      <x:c r="G21" s="37" t="str">
        <x:v>Studio A</x:v>
      </x:c>
      <x:c r="H21" s="37" t="str">
        <x:v>Reformer Beginner</x:v>
      </x:c>
      <x:c r="I21" s="37" t="str">
        <x:v>Beginner</x:v>
      </x:c>
      <x:c r="J21" s="37" t="str">
        <x:v>STF-003</x:v>
      </x:c>
      <x:c r="K21" s="63" t="str">
        <x:f>IFERROR(INDEX('09_STAFF'!$C$6:$C$105,MATCH(J21,'09_STAFF'!$B$6:$B$105,0)),"")</x:f>
        <x:v>Riya Thapa</x:v>
      </x:c>
      <x:c r="L21" s="37" t="n">
        <x:v>8</x:v>
      </x:c>
      <x:c r="M21" s="37" t="str">
        <x:v>Completed</x:v>
      </x:c>
      <x:c r="N21" s="37" t="str">
        <x:v>Demo class</x:v>
      </x:c>
    </x:row>
    <x:row r="22">
      <x:c r="A22" s="37" t="str">
        <x:v>DEMO</x:v>
      </x:c>
      <x:c r="B22" s="59" t="str">
        <x:f>IF(C22="","","CLS-"&amp;TEXT(C22,"yymmdd")&amp;"-"&amp;TEXT(ROW()-5,"0000"))</x:f>
        <x:v>CLS-260427-0017</x:v>
      </x:c>
      <x:c r="C22" s="42" t="n">
        <x:v>46139</x:v>
      </x:c>
      <x:c r="D22" s="72" t="n">
        <x:v>0.2916666666666667</x:v>
      </x:c>
      <x:c r="E22" s="72" t="n">
        <x:v>0.3333333333333333</x:v>
      </x:c>
      <x:c r="F22" s="37" t="str">
        <x:v>Main Studio</x:v>
      </x:c>
      <x:c r="G22" s="37" t="str">
        <x:v>Studio A</x:v>
      </x:c>
      <x:c r="H22" s="37" t="str">
        <x:v>Reformer Intermediate</x:v>
      </x:c>
      <x:c r="I22" s="37" t="str">
        <x:v>All Levels</x:v>
      </x:c>
      <x:c r="J22" s="37" t="str">
        <x:v>STF-002</x:v>
      </x:c>
      <x:c r="K22" s="63" t="str">
        <x:f>IFERROR(INDEX('09_STAFF'!$C$6:$C$105,MATCH(J22,'09_STAFF'!$B$6:$B$105,0)),"")</x:f>
        <x:v>Maya Gurung</x:v>
      </x:c>
      <x:c r="L22" s="37" t="n">
        <x:v>8</x:v>
      </x:c>
      <x:c r="M22" s="37" t="str">
        <x:v>Completed</x:v>
      </x:c>
      <x:c r="N22" s="37" t="str">
        <x:v>Demo class</x:v>
      </x:c>
    </x:row>
    <x:row r="23">
      <x:c r="A23" s="37" t="str">
        <x:v>DEMO</x:v>
      </x:c>
      <x:c r="B23" s="59" t="str">
        <x:f>IF(C23="","","CLS-"&amp;TEXT(C23,"yymmdd")&amp;"-"&amp;TEXT(ROW()-5,"0000"))</x:f>
        <x:v>CLS-260504-0018</x:v>
      </x:c>
      <x:c r="C23" s="42" t="n">
        <x:v>46146</x:v>
      </x:c>
      <x:c r="D23" s="72" t="n">
        <x:v>0.2916666666666667</x:v>
      </x:c>
      <x:c r="E23" s="72" t="n">
        <x:v>0.3333333333333333</x:v>
      </x:c>
      <x:c r="F23" s="37" t="str">
        <x:v>Main Studio</x:v>
      </x:c>
      <x:c r="G23" s="37" t="str">
        <x:v>Studio A</x:v>
      </x:c>
      <x:c r="H23" s="37" t="str">
        <x:v>Mat Pilates</x:v>
      </x:c>
      <x:c r="I23" s="37" t="str">
        <x:v>Intermediate</x:v>
      </x:c>
      <x:c r="J23" s="37" t="str">
        <x:v>STF-003</x:v>
      </x:c>
      <x:c r="K23" s="63" t="str">
        <x:f>IFERROR(INDEX('09_STAFF'!$C$6:$C$105,MATCH(J23,'09_STAFF'!$B$6:$B$105,0)),"")</x:f>
        <x:v>Riya Thapa</x:v>
      </x:c>
      <x:c r="L23" s="37" t="n">
        <x:v>8</x:v>
      </x:c>
      <x:c r="M23" s="37" t="str">
        <x:v>Completed</x:v>
      </x:c>
      <x:c r="N23" s="37" t="str">
        <x:v>Demo class</x:v>
      </x:c>
    </x:row>
    <x:row r="24">
      <x:c r="A24" s="37" t="str">
        <x:v>DEMO</x:v>
      </x:c>
      <x:c r="B24" s="59" t="str">
        <x:f>IF(C24="","","CLS-"&amp;TEXT(C24,"yymmdd")&amp;"-"&amp;TEXT(ROW()-5,"0000"))</x:f>
        <x:v>CLS-260511-0019</x:v>
      </x:c>
      <x:c r="C24" s="42" t="n">
        <x:v>46153</x:v>
      </x:c>
      <x:c r="D24" s="72" t="n">
        <x:v>0.2916666666666667</x:v>
      </x:c>
      <x:c r="E24" s="72" t="n">
        <x:v>0.3333333333333333</x:v>
      </x:c>
      <x:c r="F24" s="37" t="str">
        <x:v>Main Studio</x:v>
      </x:c>
      <x:c r="G24" s="37" t="str">
        <x:v>Studio A</x:v>
      </x:c>
      <x:c r="H24" s="37" t="str">
        <x:v>Reformer Beginner</x:v>
      </x:c>
      <x:c r="I24" s="37" t="str">
        <x:v>Beginner</x:v>
      </x:c>
      <x:c r="J24" s="37" t="str">
        <x:v>STF-002</x:v>
      </x:c>
      <x:c r="K24" s="63" t="str">
        <x:f>IFERROR(INDEX('09_STAFF'!$C$6:$C$105,MATCH(J24,'09_STAFF'!$B$6:$B$105,0)),"")</x:f>
        <x:v>Maya Gurung</x:v>
      </x:c>
      <x:c r="L24" s="37" t="n">
        <x:v>8</x:v>
      </x:c>
      <x:c r="M24" s="37" t="str">
        <x:v>Completed</x:v>
      </x:c>
      <x:c r="N24" s="37" t="str">
        <x:v>Demo class</x:v>
      </x:c>
    </x:row>
    <x:row r="25">
      <x:c r="A25" s="37" t="str">
        <x:v>DEMO</x:v>
      </x:c>
      <x:c r="B25" s="59" t="str">
        <x:f>IF(C25="","","CLS-"&amp;TEXT(C25,"yymmdd")&amp;"-"&amp;TEXT(ROW()-5,"0000"))</x:f>
        <x:v>CLS-260518-0020</x:v>
      </x:c>
      <x:c r="C25" s="42" t="n">
        <x:v>46160</x:v>
      </x:c>
      <x:c r="D25" s="72" t="n">
        <x:v>0.2916666666666667</x:v>
      </x:c>
      <x:c r="E25" s="72" t="n">
        <x:v>0.3333333333333333</x:v>
      </x:c>
      <x:c r="F25" s="37" t="str">
        <x:v>Main Studio</x:v>
      </x:c>
      <x:c r="G25" s="37" t="str">
        <x:v>Studio A</x:v>
      </x:c>
      <x:c r="H25" s="37" t="str">
        <x:v>Reformer Intermediate</x:v>
      </x:c>
      <x:c r="I25" s="37" t="str">
        <x:v>All Levels</x:v>
      </x:c>
      <x:c r="J25" s="37" t="str">
        <x:v>STF-003</x:v>
      </x:c>
      <x:c r="K25" s="63" t="str">
        <x:f>IFERROR(INDEX('09_STAFF'!$C$6:$C$105,MATCH(J25,'09_STAFF'!$B$6:$B$105,0)),"")</x:f>
        <x:v>Riya Thapa</x:v>
      </x:c>
      <x:c r="L25" s="37" t="n">
        <x:v>8</x:v>
      </x:c>
      <x:c r="M25" s="37" t="str">
        <x:v>Completed</x:v>
      </x:c>
      <x:c r="N25" s="37" t="str">
        <x:v>Demo class</x:v>
      </x:c>
    </x:row>
    <x:row r="26">
      <x:c r="A26" s="37" t="str">
        <x:v>DEMO</x:v>
      </x:c>
      <x:c r="B26" s="59" t="str">
        <x:f>IF(C26="","","CLS-"&amp;TEXT(C26,"yymmdd")&amp;"-"&amp;TEXT(ROW()-5,"0000"))</x:f>
        <x:v>CLS-260525-0021</x:v>
      </x:c>
      <x:c r="C26" s="42" t="n">
        <x:v>46167</x:v>
      </x:c>
      <x:c r="D26" s="72" t="n">
        <x:v>0.2916666666666667</x:v>
      </x:c>
      <x:c r="E26" s="72" t="n">
        <x:v>0.3333333333333333</x:v>
      </x:c>
      <x:c r="F26" s="37" t="str">
        <x:v>Main Studio</x:v>
      </x:c>
      <x:c r="G26" s="37" t="str">
        <x:v>Studio A</x:v>
      </x:c>
      <x:c r="H26" s="37" t="str">
        <x:v>Mat Pilates</x:v>
      </x:c>
      <x:c r="I26" s="37" t="str">
        <x:v>Intermediate</x:v>
      </x:c>
      <x:c r="J26" s="37" t="str">
        <x:v>STF-002</x:v>
      </x:c>
      <x:c r="K26" s="63" t="str">
        <x:f>IFERROR(INDEX('09_STAFF'!$C$6:$C$105,MATCH(J26,'09_STAFF'!$B$6:$B$105,0)),"")</x:f>
        <x:v>Maya Gurung</x:v>
      </x:c>
      <x:c r="L26" s="37" t="n">
        <x:v>8</x:v>
      </x:c>
      <x:c r="M26" s="37" t="str">
        <x:v>Completed</x:v>
      </x:c>
      <x:c r="N26" s="37" t="str">
        <x:v>Demo class</x:v>
      </x:c>
    </x:row>
    <x:row r="27">
      <x:c r="A27" s="37" t="str">
        <x:v>DEMO</x:v>
      </x:c>
      <x:c r="B27" s="59" t="str">
        <x:f>IF(C27="","","CLS-"&amp;TEXT(C27,"yymmdd")&amp;"-"&amp;TEXT(ROW()-5,"0000"))</x:f>
        <x:v>CLS-260601-0022</x:v>
      </x:c>
      <x:c r="C27" s="42" t="n">
        <x:v>46174</x:v>
      </x:c>
      <x:c r="D27" s="72" t="n">
        <x:v>0.2916666666666667</x:v>
      </x:c>
      <x:c r="E27" s="72" t="n">
        <x:v>0.3333333333333333</x:v>
      </x:c>
      <x:c r="F27" s="37" t="str">
        <x:v>Main Studio</x:v>
      </x:c>
      <x:c r="G27" s="37" t="str">
        <x:v>Studio A</x:v>
      </x:c>
      <x:c r="H27" s="37" t="str">
        <x:v>Reformer Beginner</x:v>
      </x:c>
      <x:c r="I27" s="37" t="str">
        <x:v>Beginner</x:v>
      </x:c>
      <x:c r="J27" s="37" t="str">
        <x:v>STF-003</x:v>
      </x:c>
      <x:c r="K27" s="63" t="str">
        <x:f>IFERROR(INDEX('09_STAFF'!$C$6:$C$105,MATCH(J27,'09_STAFF'!$B$6:$B$105,0)),"")</x:f>
        <x:v>Riya Thapa</x:v>
      </x:c>
      <x:c r="L27" s="37" t="n">
        <x:v>8</x:v>
      </x:c>
      <x:c r="M27" s="37" t="str">
        <x:v>Completed</x:v>
      </x:c>
      <x:c r="N27" s="37" t="str">
        <x:v>Demo class</x:v>
      </x:c>
    </x:row>
    <x:row r="28">
      <x:c r="A28" s="37" t="str">
        <x:v>DEMO</x:v>
      </x:c>
      <x:c r="B28" s="59" t="str">
        <x:f>IF(C28="","","CLS-"&amp;TEXT(C28,"yymmdd")&amp;"-"&amp;TEXT(ROW()-5,"0000"))</x:f>
        <x:v>CLS-260608-0023</x:v>
      </x:c>
      <x:c r="C28" s="42" t="n">
        <x:v>46181</x:v>
      </x:c>
      <x:c r="D28" s="72" t="n">
        <x:v>0.2916666666666667</x:v>
      </x:c>
      <x:c r="E28" s="72" t="n">
        <x:v>0.3333333333333333</x:v>
      </x:c>
      <x:c r="F28" s="37" t="str">
        <x:v>Main Studio</x:v>
      </x:c>
      <x:c r="G28" s="37" t="str">
        <x:v>Studio A</x:v>
      </x:c>
      <x:c r="H28" s="37" t="str">
        <x:v>Reformer Intermediate</x:v>
      </x:c>
      <x:c r="I28" s="37" t="str">
        <x:v>All Levels</x:v>
      </x:c>
      <x:c r="J28" s="37" t="str">
        <x:v>STF-002</x:v>
      </x:c>
      <x:c r="K28" s="63" t="str">
        <x:f>IFERROR(INDEX('09_STAFF'!$C$6:$C$105,MATCH(J28,'09_STAFF'!$B$6:$B$105,0)),"")</x:f>
        <x:v>Maya Gurung</x:v>
      </x:c>
      <x:c r="L28" s="37" t="n">
        <x:v>8</x:v>
      </x:c>
      <x:c r="M28" s="37" t="str">
        <x:v>Completed</x:v>
      </x:c>
      <x:c r="N28" s="37" t="str">
        <x:v>Demo class</x:v>
      </x:c>
    </x:row>
    <x:row r="29">
      <x:c r="A29" s="37" t="str">
        <x:v>DEMO</x:v>
      </x:c>
      <x:c r="B29" s="59" t="str">
        <x:f>IF(C29="","","CLS-"&amp;TEXT(C29,"yymmdd")&amp;"-"&amp;TEXT(ROW()-5,"0000"))</x:f>
        <x:v>CLS-260615-0024</x:v>
      </x:c>
      <x:c r="C29" s="42" t="n">
        <x:v>46188</x:v>
      </x:c>
      <x:c r="D29" s="72" t="n">
        <x:v>0.2916666666666667</x:v>
      </x:c>
      <x:c r="E29" s="72" t="n">
        <x:v>0.3333333333333333</x:v>
      </x:c>
      <x:c r="F29" s="37" t="str">
        <x:v>Main Studio</x:v>
      </x:c>
      <x:c r="G29" s="37" t="str">
        <x:v>Studio A</x:v>
      </x:c>
      <x:c r="H29" s="37" t="str">
        <x:v>Mat Pilates</x:v>
      </x:c>
      <x:c r="I29" s="37" t="str">
        <x:v>Intermediate</x:v>
      </x:c>
      <x:c r="J29" s="37" t="str">
        <x:v>STF-003</x:v>
      </x:c>
      <x:c r="K29" s="63" t="str">
        <x:f>IFERROR(INDEX('09_STAFF'!$C$6:$C$105,MATCH(J29,'09_STAFF'!$B$6:$B$105,0)),"")</x:f>
        <x:v>Riya Thapa</x:v>
      </x:c>
      <x:c r="L29" s="37" t="n">
        <x:v>8</x:v>
      </x:c>
      <x:c r="M29" s="37" t="str">
        <x:v>Completed</x:v>
      </x:c>
      <x:c r="N29" s="37" t="str">
        <x:v>Demo class</x:v>
      </x:c>
    </x:row>
    <x:row r="30">
      <x:c r="A30" s="37" t="str">
        <x:v>DEMO</x:v>
      </x:c>
      <x:c r="B30" s="59" t="str">
        <x:f>IF(C30="","","CLS-"&amp;TEXT(C30,"yymmdd")&amp;"-"&amp;TEXT(ROW()-5,"0000"))</x:f>
        <x:v>CLS-260622-0025</x:v>
      </x:c>
      <x:c r="C30" s="42" t="n">
        <x:v>46195</x:v>
      </x:c>
      <x:c r="D30" s="72" t="n">
        <x:v>0.2916666666666667</x:v>
      </x:c>
      <x:c r="E30" s="72" t="n">
        <x:v>0.3333333333333333</x:v>
      </x:c>
      <x:c r="F30" s="37" t="str">
        <x:v>Main Studio</x:v>
      </x:c>
      <x:c r="G30" s="37" t="str">
        <x:v>Studio A</x:v>
      </x:c>
      <x:c r="H30" s="37" t="str">
        <x:v>Reformer Beginner</x:v>
      </x:c>
      <x:c r="I30" s="37" t="str">
        <x:v>Beginner</x:v>
      </x:c>
      <x:c r="J30" s="37" t="str">
        <x:v>STF-002</x:v>
      </x:c>
      <x:c r="K30" s="63" t="str">
        <x:f>IFERROR(INDEX('09_STAFF'!$C$6:$C$105,MATCH(J30,'09_STAFF'!$B$6:$B$105,0)),"")</x:f>
        <x:v>Maya Gurung</x:v>
      </x:c>
      <x:c r="L30" s="37" t="n">
        <x:v>8</x:v>
      </x:c>
      <x:c r="M30" s="37" t="str">
        <x:v>Completed</x:v>
      </x:c>
      <x:c r="N30" s="37" t="str">
        <x:v>Demo class</x:v>
      </x:c>
    </x:row>
    <x:row r="31">
      <x:c r="A31" s="37" t="str">
        <x:v>DEMO</x:v>
      </x:c>
      <x:c r="B31" s="59" t="str">
        <x:f>IF(C31="","","CLS-"&amp;TEXT(C31,"yymmdd")&amp;"-"&amp;TEXT(ROW()-5,"0000"))</x:f>
        <x:v>CLS-260629-0026</x:v>
      </x:c>
      <x:c r="C31" s="42" t="n">
        <x:v>46202</x:v>
      </x:c>
      <x:c r="D31" s="72" t="n">
        <x:v>0.2916666666666667</x:v>
      </x:c>
      <x:c r="E31" s="72" t="n">
        <x:v>0.3333333333333333</x:v>
      </x:c>
      <x:c r="F31" s="37" t="str">
        <x:v>Main Studio</x:v>
      </x:c>
      <x:c r="G31" s="37" t="str">
        <x:v>Studio A</x:v>
      </x:c>
      <x:c r="H31" s="37" t="str">
        <x:v>Reformer Intermediate</x:v>
      </x:c>
      <x:c r="I31" s="37" t="str">
        <x:v>All Levels</x:v>
      </x:c>
      <x:c r="J31" s="37" t="str">
        <x:v>STF-003</x:v>
      </x:c>
      <x:c r="K31" s="63" t="str">
        <x:f>IFERROR(INDEX('09_STAFF'!$C$6:$C$105,MATCH(J31,'09_STAFF'!$B$6:$B$105,0)),"")</x:f>
        <x:v>Riya Thapa</x:v>
      </x:c>
      <x:c r="L31" s="37" t="n">
        <x:v>8</x:v>
      </x:c>
      <x:c r="M31" s="37" t="str">
        <x:v>Completed</x:v>
      </x:c>
      <x:c r="N31" s="37" t="str">
        <x:v>Demo class</x:v>
      </x:c>
    </x:row>
    <x:row r="32">
      <x:c r="A32" s="37" t="str">
        <x:v>DEMO</x:v>
      </x:c>
      <x:c r="B32" s="59" t="str">
        <x:f>IF(C32="","","CLS-"&amp;TEXT(C32,"yymmdd")&amp;"-"&amp;TEXT(ROW()-5,"0000"))</x:f>
        <x:v>CLS-260706-0027</x:v>
      </x:c>
      <x:c r="C32" s="42" t="n">
        <x:v>46209</x:v>
      </x:c>
      <x:c r="D32" s="72" t="n">
        <x:v>0.2916666666666667</x:v>
      </x:c>
      <x:c r="E32" s="72" t="n">
        <x:v>0.3333333333333333</x:v>
      </x:c>
      <x:c r="F32" s="37" t="str">
        <x:v>Main Studio</x:v>
      </x:c>
      <x:c r="G32" s="37" t="str">
        <x:v>Studio A</x:v>
      </x:c>
      <x:c r="H32" s="37" t="str">
        <x:v>Mat Pilates</x:v>
      </x:c>
      <x:c r="I32" s="37" t="str">
        <x:v>Intermediate</x:v>
      </x:c>
      <x:c r="J32" s="37" t="str">
        <x:v>STF-002</x:v>
      </x:c>
      <x:c r="K32" s="63" t="str">
        <x:f>IFERROR(INDEX('09_STAFF'!$C$6:$C$105,MATCH(J32,'09_STAFF'!$B$6:$B$105,0)),"")</x:f>
        <x:v>Maya Gurung</x:v>
      </x:c>
      <x:c r="L32" s="37" t="n">
        <x:v>8</x:v>
      </x:c>
      <x:c r="M32" s="37" t="str">
        <x:v>Completed</x:v>
      </x:c>
      <x:c r="N32" s="37" t="str">
        <x:v>Demo class</x:v>
      </x:c>
    </x:row>
    <x:row r="33">
      <x:c r="A33" s="37" t="str">
        <x:v>DEMO</x:v>
      </x:c>
      <x:c r="B33" s="59" t="str">
        <x:f>IF(C33="","","CLS-"&amp;TEXT(C33,"yymmdd")&amp;"-"&amp;TEXT(ROW()-5,"0000"))</x:f>
        <x:v>CLS-260713-0028</x:v>
      </x:c>
      <x:c r="C33" s="42" t="n">
        <x:v>46216</x:v>
      </x:c>
      <x:c r="D33" s="72" t="n">
        <x:v>0.2916666666666667</x:v>
      </x:c>
      <x:c r="E33" s="72" t="n">
        <x:v>0.3333333333333333</x:v>
      </x:c>
      <x:c r="F33" s="37" t="str">
        <x:v>Main Studio</x:v>
      </x:c>
      <x:c r="G33" s="37" t="str">
        <x:v>Studio A</x:v>
      </x:c>
      <x:c r="H33" s="37" t="str">
        <x:v>Reformer Beginner</x:v>
      </x:c>
      <x:c r="I33" s="37" t="str">
        <x:v>Beginner</x:v>
      </x:c>
      <x:c r="J33" s="37" t="str">
        <x:v>STF-003</x:v>
      </x:c>
      <x:c r="K33" s="63" t="str">
        <x:f>IFERROR(INDEX('09_STAFF'!$C$6:$C$105,MATCH(J33,'09_STAFF'!$B$6:$B$105,0)),"")</x:f>
        <x:v>Riya Thapa</x:v>
      </x:c>
      <x:c r="L33" s="37" t="n">
        <x:v>8</x:v>
      </x:c>
      <x:c r="M33" s="37" t="str">
        <x:v>Completed</x:v>
      </x:c>
      <x:c r="N33" s="37" t="str">
        <x:v>Demo class</x:v>
      </x:c>
    </x:row>
    <x:row r="34">
      <x:c r="A34" s="37" t="str">
        <x:v>DEMO</x:v>
      </x:c>
      <x:c r="B34" s="59" t="str">
        <x:f>IF(C34="","","CLS-"&amp;TEXT(C34,"yymmdd")&amp;"-"&amp;TEXT(ROW()-5,"0000"))</x:f>
        <x:v>CLS-260720-0029</x:v>
      </x:c>
      <x:c r="C34" s="42" t="n">
        <x:v>46223</x:v>
      </x:c>
      <x:c r="D34" s="72" t="n">
        <x:v>0.2916666666666667</x:v>
      </x:c>
      <x:c r="E34" s="72" t="n">
        <x:v>0.3333333333333333</x:v>
      </x:c>
      <x:c r="F34" s="37" t="str">
        <x:v>Main Studio</x:v>
      </x:c>
      <x:c r="G34" s="37" t="str">
        <x:v>Studio A</x:v>
      </x:c>
      <x:c r="H34" s="37" t="str">
        <x:v>Reformer Intermediate</x:v>
      </x:c>
      <x:c r="I34" s="37" t="str">
        <x:v>All Levels</x:v>
      </x:c>
      <x:c r="J34" s="37" t="str">
        <x:v>STF-002</x:v>
      </x:c>
      <x:c r="K34" s="63" t="str">
        <x:f>IFERROR(INDEX('09_STAFF'!$C$6:$C$105,MATCH(J34,'09_STAFF'!$B$6:$B$105,0)),"")</x:f>
        <x:v>Maya Gurung</x:v>
      </x:c>
      <x:c r="L34" s="37" t="n">
        <x:v>8</x:v>
      </x:c>
      <x:c r="M34" s="37" t="str">
        <x:v>Completed</x:v>
      </x:c>
      <x:c r="N34" s="37" t="str">
        <x:v>Demo class</x:v>
      </x:c>
    </x:row>
    <x:row r="35">
      <x:c r="A35" s="37" t="str">
        <x:v>DEMO</x:v>
      </x:c>
      <x:c r="B35" s="59" t="str">
        <x:f>IF(C35="","","CLS-"&amp;TEXT(C35,"yymmdd")&amp;"-"&amp;TEXT(ROW()-5,"0000"))</x:f>
        <x:v>CLS-260727-0030</x:v>
      </x:c>
      <x:c r="C35" s="42" t="n">
        <x:v>46230</x:v>
      </x:c>
      <x:c r="D35" s="72" t="n">
        <x:v>0.2916666666666667</x:v>
      </x:c>
      <x:c r="E35" s="72" t="n">
        <x:v>0.3333333333333333</x:v>
      </x:c>
      <x:c r="F35" s="37" t="str">
        <x:v>Main Studio</x:v>
      </x:c>
      <x:c r="G35" s="37" t="str">
        <x:v>Studio A</x:v>
      </x:c>
      <x:c r="H35" s="37" t="str">
        <x:v>Mat Pilates</x:v>
      </x:c>
      <x:c r="I35" s="37" t="str">
        <x:v>Intermediate</x:v>
      </x:c>
      <x:c r="J35" s="37" t="str">
        <x:v>STF-003</x:v>
      </x:c>
      <x:c r="K35" s="63" t="str">
        <x:f>IFERROR(INDEX('09_STAFF'!$C$6:$C$105,MATCH(J35,'09_STAFF'!$B$6:$B$105,0)),"")</x:f>
        <x:v>Riya Thapa</x:v>
      </x:c>
      <x:c r="L35" s="37" t="n">
        <x:v>8</x:v>
      </x:c>
      <x:c r="M35" s="37" t="str">
        <x:v>Completed</x:v>
      </x:c>
      <x:c r="N35" s="37" t="str">
        <x:v>Demo class</x:v>
      </x:c>
    </x:row>
    <x:row r="36">
      <x:c r="A36" s="37"/>
      <x:c r="B36" s="59" t="str">
        <x:f>IF(C36="","","CLS-"&amp;TEXT(C36,"yymmdd")&amp;"-"&amp;TEXT(ROW()-5,"0000"))</x:f>
      </x:c>
      <x:c r="C36" s="42"/>
      <x:c r="D36" s="72"/>
      <x:c r="E36" s="72"/>
      <x:c r="F36" s="37"/>
      <x:c r="G36" s="37"/>
      <x:c r="H36" s="37"/>
      <x:c r="I36" s="37"/>
      <x:c r="J36" s="37"/>
      <x:c r="K36" s="63" t="str">
        <x:f>IFERROR(INDEX('09_STAFF'!$C$6:$C$105,MATCH(J36,'09_STAFF'!$B$6:$B$105,0)),"")</x:f>
      </x:c>
      <x:c r="L36" s="37"/>
      <x:c r="M36" s="37"/>
      <x:c r="N36" s="37"/>
    </x:row>
    <x:row r="37">
      <x:c r="A37" s="37"/>
      <x:c r="B37" s="59" t="str">
        <x:f>IF(C37="","","CLS-"&amp;TEXT(C37,"yymmdd")&amp;"-"&amp;TEXT(ROW()-5,"0000"))</x:f>
      </x:c>
      <x:c r="C37" s="42"/>
      <x:c r="D37" s="72"/>
      <x:c r="E37" s="72"/>
      <x:c r="F37" s="37"/>
      <x:c r="G37" s="37"/>
      <x:c r="H37" s="37"/>
      <x:c r="I37" s="37"/>
      <x:c r="J37" s="37"/>
      <x:c r="K37" s="63" t="str">
        <x:f>IFERROR(INDEX('09_STAFF'!$C$6:$C$105,MATCH(J37,'09_STAFF'!$B$6:$B$105,0)),"")</x:f>
      </x:c>
      <x:c r="L37" s="37"/>
      <x:c r="M37" s="37"/>
      <x:c r="N37" s="37"/>
    </x:row>
    <x:row r="38">
      <x:c r="A38" s="37"/>
      <x:c r="B38" s="59" t="str">
        <x:f>IF(C38="","","CLS-"&amp;TEXT(C38,"yymmdd")&amp;"-"&amp;TEXT(ROW()-5,"0000"))</x:f>
      </x:c>
      <x:c r="C38" s="42"/>
      <x:c r="D38" s="72"/>
      <x:c r="E38" s="72"/>
      <x:c r="F38" s="37"/>
      <x:c r="G38" s="37"/>
      <x:c r="H38" s="37"/>
      <x:c r="I38" s="37"/>
      <x:c r="J38" s="37"/>
      <x:c r="K38" s="63" t="str">
        <x:f>IFERROR(INDEX('09_STAFF'!$C$6:$C$105,MATCH(J38,'09_STAFF'!$B$6:$B$105,0)),"")</x:f>
      </x:c>
      <x:c r="L38" s="37"/>
      <x:c r="M38" s="37"/>
      <x:c r="N38" s="37"/>
    </x:row>
    <x:row r="39">
      <x:c r="A39" s="37"/>
      <x:c r="B39" s="59" t="str">
        <x:f>IF(C39="","","CLS-"&amp;TEXT(C39,"yymmdd")&amp;"-"&amp;TEXT(ROW()-5,"0000"))</x:f>
      </x:c>
      <x:c r="C39" s="42"/>
      <x:c r="D39" s="72"/>
      <x:c r="E39" s="72"/>
      <x:c r="F39" s="37"/>
      <x:c r="G39" s="37"/>
      <x:c r="H39" s="37"/>
      <x:c r="I39" s="37"/>
      <x:c r="J39" s="37"/>
      <x:c r="K39" s="63" t="str">
        <x:f>IFERROR(INDEX('09_STAFF'!$C$6:$C$105,MATCH(J39,'09_STAFF'!$B$6:$B$105,0)),"")</x:f>
      </x:c>
      <x:c r="L39" s="37"/>
      <x:c r="M39" s="37"/>
      <x:c r="N39" s="37"/>
    </x:row>
    <x:row r="40">
      <x:c r="A40" s="37"/>
      <x:c r="B40" s="59" t="str">
        <x:f>IF(C40="","","CLS-"&amp;TEXT(C40,"yymmdd")&amp;"-"&amp;TEXT(ROW()-5,"0000"))</x:f>
      </x:c>
      <x:c r="C40" s="42"/>
      <x:c r="D40" s="72"/>
      <x:c r="E40" s="72"/>
      <x:c r="F40" s="37"/>
      <x:c r="G40" s="37"/>
      <x:c r="H40" s="37"/>
      <x:c r="I40" s="37"/>
      <x:c r="J40" s="37"/>
      <x:c r="K40" s="63" t="str">
        <x:f>IFERROR(INDEX('09_STAFF'!$C$6:$C$105,MATCH(J40,'09_STAFF'!$B$6:$B$105,0)),"")</x:f>
      </x:c>
      <x:c r="L40" s="37"/>
      <x:c r="M40" s="37"/>
      <x:c r="N40" s="37"/>
    </x:row>
    <x:row r="41">
      <x:c r="A41" s="37"/>
      <x:c r="B41" s="59" t="str">
        <x:f>IF(C41="","","CLS-"&amp;TEXT(C41,"yymmdd")&amp;"-"&amp;TEXT(ROW()-5,"0000"))</x:f>
      </x:c>
      <x:c r="C41" s="42"/>
      <x:c r="D41" s="72"/>
      <x:c r="E41" s="72"/>
      <x:c r="F41" s="37"/>
      <x:c r="G41" s="37"/>
      <x:c r="H41" s="37"/>
      <x:c r="I41" s="37"/>
      <x:c r="J41" s="37"/>
      <x:c r="K41" s="63" t="str">
        <x:f>IFERROR(INDEX('09_STAFF'!$C$6:$C$105,MATCH(J41,'09_STAFF'!$B$6:$B$105,0)),"")</x:f>
      </x:c>
      <x:c r="L41" s="37"/>
      <x:c r="M41" s="37"/>
      <x:c r="N41" s="37"/>
    </x:row>
    <x:row r="42">
      <x:c r="A42" s="37"/>
      <x:c r="B42" s="59" t="str">
        <x:f>IF(C42="","","CLS-"&amp;TEXT(C42,"yymmdd")&amp;"-"&amp;TEXT(ROW()-5,"0000"))</x:f>
      </x:c>
      <x:c r="C42" s="42"/>
      <x:c r="D42" s="72"/>
      <x:c r="E42" s="72"/>
      <x:c r="F42" s="37"/>
      <x:c r="G42" s="37"/>
      <x:c r="H42" s="37"/>
      <x:c r="I42" s="37"/>
      <x:c r="J42" s="37"/>
      <x:c r="K42" s="63" t="str">
        <x:f>IFERROR(INDEX('09_STAFF'!$C$6:$C$105,MATCH(J42,'09_STAFF'!$B$6:$B$105,0)),"")</x:f>
      </x:c>
      <x:c r="L42" s="37"/>
      <x:c r="M42" s="37"/>
      <x:c r="N42" s="37"/>
    </x:row>
    <x:row r="43">
      <x:c r="A43" s="37"/>
      <x:c r="B43" s="59" t="str">
        <x:f>IF(C43="","","CLS-"&amp;TEXT(C43,"yymmdd")&amp;"-"&amp;TEXT(ROW()-5,"0000"))</x:f>
      </x:c>
      <x:c r="C43" s="42"/>
      <x:c r="D43" s="72"/>
      <x:c r="E43" s="72"/>
      <x:c r="F43" s="37"/>
      <x:c r="G43" s="37"/>
      <x:c r="H43" s="37"/>
      <x:c r="I43" s="37"/>
      <x:c r="J43" s="37"/>
      <x:c r="K43" s="63" t="str">
        <x:f>IFERROR(INDEX('09_STAFF'!$C$6:$C$105,MATCH(J43,'09_STAFF'!$B$6:$B$105,0)),"")</x:f>
      </x:c>
      <x:c r="L43" s="37"/>
      <x:c r="M43" s="37"/>
      <x:c r="N43" s="37"/>
    </x:row>
    <x:row r="44">
      <x:c r="A44" s="37"/>
      <x:c r="B44" s="59" t="str">
        <x:f>IF(C44="","","CLS-"&amp;TEXT(C44,"yymmdd")&amp;"-"&amp;TEXT(ROW()-5,"0000"))</x:f>
      </x:c>
      <x:c r="C44" s="42"/>
      <x:c r="D44" s="72"/>
      <x:c r="E44" s="72"/>
      <x:c r="F44" s="37"/>
      <x:c r="G44" s="37"/>
      <x:c r="H44" s="37"/>
      <x:c r="I44" s="37"/>
      <x:c r="J44" s="37"/>
      <x:c r="K44" s="63" t="str">
        <x:f>IFERROR(INDEX('09_STAFF'!$C$6:$C$105,MATCH(J44,'09_STAFF'!$B$6:$B$105,0)),"")</x:f>
      </x:c>
      <x:c r="L44" s="37"/>
      <x:c r="M44" s="37"/>
      <x:c r="N44" s="37"/>
    </x:row>
    <x:row r="45">
      <x:c r="A45" s="37"/>
      <x:c r="B45" s="59" t="str">
        <x:f>IF(C45="","","CLS-"&amp;TEXT(C45,"yymmdd")&amp;"-"&amp;TEXT(ROW()-5,"0000"))</x:f>
      </x:c>
      <x:c r="C45" s="42"/>
      <x:c r="D45" s="72"/>
      <x:c r="E45" s="72"/>
      <x:c r="F45" s="37"/>
      <x:c r="G45" s="37"/>
      <x:c r="H45" s="37"/>
      <x:c r="I45" s="37"/>
      <x:c r="J45" s="37"/>
      <x:c r="K45" s="63" t="str">
        <x:f>IFERROR(INDEX('09_STAFF'!$C$6:$C$105,MATCH(J45,'09_STAFF'!$B$6:$B$105,0)),"")</x:f>
      </x:c>
      <x:c r="L45" s="37"/>
      <x:c r="M45" s="37"/>
      <x:c r="N45" s="37"/>
    </x:row>
    <x:row r="46">
      <x:c r="A46" s="37"/>
      <x:c r="B46" s="59" t="str">
        <x:f>IF(C46="","","CLS-"&amp;TEXT(C46,"yymmdd")&amp;"-"&amp;TEXT(ROW()-5,"0000"))</x:f>
      </x:c>
      <x:c r="C46" s="42"/>
      <x:c r="D46" s="72"/>
      <x:c r="E46" s="72"/>
      <x:c r="F46" s="37"/>
      <x:c r="G46" s="37"/>
      <x:c r="H46" s="37"/>
      <x:c r="I46" s="37"/>
      <x:c r="J46" s="37"/>
      <x:c r="K46" s="63" t="str">
        <x:f>IFERROR(INDEX('09_STAFF'!$C$6:$C$105,MATCH(J46,'09_STAFF'!$B$6:$B$105,0)),"")</x:f>
      </x:c>
      <x:c r="L46" s="37"/>
      <x:c r="M46" s="37"/>
      <x:c r="N46" s="37"/>
    </x:row>
    <x:row r="47">
      <x:c r="A47" s="37"/>
      <x:c r="B47" s="59" t="str">
        <x:f>IF(C47="","","CLS-"&amp;TEXT(C47,"yymmdd")&amp;"-"&amp;TEXT(ROW()-5,"0000"))</x:f>
      </x:c>
      <x:c r="C47" s="42"/>
      <x:c r="D47" s="72"/>
      <x:c r="E47" s="72"/>
      <x:c r="F47" s="37"/>
      <x:c r="G47" s="37"/>
      <x:c r="H47" s="37"/>
      <x:c r="I47" s="37"/>
      <x:c r="J47" s="37"/>
      <x:c r="K47" s="63" t="str">
        <x:f>IFERROR(INDEX('09_STAFF'!$C$6:$C$105,MATCH(J47,'09_STAFF'!$B$6:$B$105,0)),"")</x:f>
      </x:c>
      <x:c r="L47" s="37"/>
      <x:c r="M47" s="37"/>
      <x:c r="N47" s="37"/>
    </x:row>
    <x:row r="48">
      <x:c r="A48" s="37"/>
      <x:c r="B48" s="59" t="str">
        <x:f>IF(C48="","","CLS-"&amp;TEXT(C48,"yymmdd")&amp;"-"&amp;TEXT(ROW()-5,"0000"))</x:f>
      </x:c>
      <x:c r="C48" s="42"/>
      <x:c r="D48" s="72"/>
      <x:c r="E48" s="72"/>
      <x:c r="F48" s="37"/>
      <x:c r="G48" s="37"/>
      <x:c r="H48" s="37"/>
      <x:c r="I48" s="37"/>
      <x:c r="J48" s="37"/>
      <x:c r="K48" s="63" t="str">
        <x:f>IFERROR(INDEX('09_STAFF'!$C$6:$C$105,MATCH(J48,'09_STAFF'!$B$6:$B$105,0)),"")</x:f>
      </x:c>
      <x:c r="L48" s="37"/>
      <x:c r="M48" s="37"/>
      <x:c r="N48" s="37"/>
    </x:row>
    <x:row r="49">
      <x:c r="A49" s="37"/>
      <x:c r="B49" s="59" t="str">
        <x:f>IF(C49="","","CLS-"&amp;TEXT(C49,"yymmdd")&amp;"-"&amp;TEXT(ROW()-5,"0000"))</x:f>
      </x:c>
      <x:c r="C49" s="42"/>
      <x:c r="D49" s="72"/>
      <x:c r="E49" s="72"/>
      <x:c r="F49" s="37"/>
      <x:c r="G49" s="37"/>
      <x:c r="H49" s="37"/>
      <x:c r="I49" s="37"/>
      <x:c r="J49" s="37"/>
      <x:c r="K49" s="63" t="str">
        <x:f>IFERROR(INDEX('09_STAFF'!$C$6:$C$105,MATCH(J49,'09_STAFF'!$B$6:$B$105,0)),"")</x:f>
      </x:c>
      <x:c r="L49" s="37"/>
      <x:c r="M49" s="37"/>
      <x:c r="N49" s="37"/>
    </x:row>
    <x:row r="50">
      <x:c r="A50" s="37"/>
      <x:c r="B50" s="59" t="str">
        <x:f>IF(C50="","","CLS-"&amp;TEXT(C50,"yymmdd")&amp;"-"&amp;TEXT(ROW()-5,"0000"))</x:f>
      </x:c>
      <x:c r="C50" s="42"/>
      <x:c r="D50" s="72"/>
      <x:c r="E50" s="72"/>
      <x:c r="F50" s="37"/>
      <x:c r="G50" s="37"/>
      <x:c r="H50" s="37"/>
      <x:c r="I50" s="37"/>
      <x:c r="J50" s="37"/>
      <x:c r="K50" s="63" t="str">
        <x:f>IFERROR(INDEX('09_STAFF'!$C$6:$C$105,MATCH(J50,'09_STAFF'!$B$6:$B$105,0)),"")</x:f>
      </x:c>
      <x:c r="L50" s="37"/>
      <x:c r="M50" s="37"/>
      <x:c r="N50" s="37"/>
    </x:row>
    <x:row r="51">
      <x:c r="A51" s="37"/>
      <x:c r="B51" s="59" t="str">
        <x:f>IF(C51="","","CLS-"&amp;TEXT(C51,"yymmdd")&amp;"-"&amp;TEXT(ROW()-5,"0000"))</x:f>
      </x:c>
      <x:c r="C51" s="42"/>
      <x:c r="D51" s="72"/>
      <x:c r="E51" s="72"/>
      <x:c r="F51" s="37"/>
      <x:c r="G51" s="37"/>
      <x:c r="H51" s="37"/>
      <x:c r="I51" s="37"/>
      <x:c r="J51" s="37"/>
      <x:c r="K51" s="63" t="str">
        <x:f>IFERROR(INDEX('09_STAFF'!$C$6:$C$105,MATCH(J51,'09_STAFF'!$B$6:$B$105,0)),"")</x:f>
      </x:c>
      <x:c r="L51" s="37"/>
      <x:c r="M51" s="37"/>
      <x:c r="N51" s="37"/>
    </x:row>
    <x:row r="52">
      <x:c r="A52" s="37"/>
      <x:c r="B52" s="59" t="str">
        <x:f>IF(C52="","","CLS-"&amp;TEXT(C52,"yymmdd")&amp;"-"&amp;TEXT(ROW()-5,"0000"))</x:f>
      </x:c>
      <x:c r="C52" s="42"/>
      <x:c r="D52" s="72"/>
      <x:c r="E52" s="72"/>
      <x:c r="F52" s="37"/>
      <x:c r="G52" s="37"/>
      <x:c r="H52" s="37"/>
      <x:c r="I52" s="37"/>
      <x:c r="J52" s="37"/>
      <x:c r="K52" s="63" t="str">
        <x:f>IFERROR(INDEX('09_STAFF'!$C$6:$C$105,MATCH(J52,'09_STAFF'!$B$6:$B$105,0)),"")</x:f>
      </x:c>
      <x:c r="L52" s="37"/>
      <x:c r="M52" s="37"/>
      <x:c r="N52" s="37"/>
    </x:row>
    <x:row r="53">
      <x:c r="A53" s="37"/>
      <x:c r="B53" s="59" t="str">
        <x:f>IF(C53="","","CLS-"&amp;TEXT(C53,"yymmdd")&amp;"-"&amp;TEXT(ROW()-5,"0000"))</x:f>
      </x:c>
      <x:c r="C53" s="42"/>
      <x:c r="D53" s="72"/>
      <x:c r="E53" s="72"/>
      <x:c r="F53" s="37"/>
      <x:c r="G53" s="37"/>
      <x:c r="H53" s="37"/>
      <x:c r="I53" s="37"/>
      <x:c r="J53" s="37"/>
      <x:c r="K53" s="63" t="str">
        <x:f>IFERROR(INDEX('09_STAFF'!$C$6:$C$105,MATCH(J53,'09_STAFF'!$B$6:$B$105,0)),"")</x:f>
      </x:c>
      <x:c r="L53" s="37"/>
      <x:c r="M53" s="37"/>
      <x:c r="N53" s="37"/>
    </x:row>
    <x:row r="54">
      <x:c r="A54" s="37"/>
      <x:c r="B54" s="59" t="str">
        <x:f>IF(C54="","","CLS-"&amp;TEXT(C54,"yymmdd")&amp;"-"&amp;TEXT(ROW()-5,"0000"))</x:f>
      </x:c>
      <x:c r="C54" s="42"/>
      <x:c r="D54" s="72"/>
      <x:c r="E54" s="72"/>
      <x:c r="F54" s="37"/>
      <x:c r="G54" s="37"/>
      <x:c r="H54" s="37"/>
      <x:c r="I54" s="37"/>
      <x:c r="J54" s="37"/>
      <x:c r="K54" s="63" t="str">
        <x:f>IFERROR(INDEX('09_STAFF'!$C$6:$C$105,MATCH(J54,'09_STAFF'!$B$6:$B$105,0)),"")</x:f>
      </x:c>
      <x:c r="L54" s="37"/>
      <x:c r="M54" s="37"/>
      <x:c r="N54" s="37"/>
    </x:row>
    <x:row r="55">
      <x:c r="A55" s="37"/>
      <x:c r="B55" s="59" t="str">
        <x:f>IF(C55="","","CLS-"&amp;TEXT(C55,"yymmdd")&amp;"-"&amp;TEXT(ROW()-5,"0000"))</x:f>
      </x:c>
      <x:c r="C55" s="42"/>
      <x:c r="D55" s="72"/>
      <x:c r="E55" s="72"/>
      <x:c r="F55" s="37"/>
      <x:c r="G55" s="37"/>
      <x:c r="H55" s="37"/>
      <x:c r="I55" s="37"/>
      <x:c r="J55" s="37"/>
      <x:c r="K55" s="63" t="str">
        <x:f>IFERROR(INDEX('09_STAFF'!$C$6:$C$105,MATCH(J55,'09_STAFF'!$B$6:$B$105,0)),"")</x:f>
      </x:c>
      <x:c r="L55" s="37"/>
      <x:c r="M55" s="37"/>
      <x:c r="N55" s="37"/>
    </x:row>
    <x:row r="56">
      <x:c r="A56" s="37"/>
      <x:c r="B56" s="59" t="str">
        <x:f>IF(C56="","","CLS-"&amp;TEXT(C56,"yymmdd")&amp;"-"&amp;TEXT(ROW()-5,"0000"))</x:f>
      </x:c>
      <x:c r="C56" s="42"/>
      <x:c r="D56" s="72"/>
      <x:c r="E56" s="72"/>
      <x:c r="F56" s="37"/>
      <x:c r="G56" s="37"/>
      <x:c r="H56" s="37"/>
      <x:c r="I56" s="37"/>
      <x:c r="J56" s="37"/>
      <x:c r="K56" s="63" t="str">
        <x:f>IFERROR(INDEX('09_STAFF'!$C$6:$C$105,MATCH(J56,'09_STAFF'!$B$6:$B$105,0)),"")</x:f>
      </x:c>
      <x:c r="L56" s="37"/>
      <x:c r="M56" s="37"/>
      <x:c r="N56" s="37"/>
    </x:row>
    <x:row r="57">
      <x:c r="A57" s="37"/>
      <x:c r="B57" s="59" t="str">
        <x:f>IF(C57="","","CLS-"&amp;TEXT(C57,"yymmdd")&amp;"-"&amp;TEXT(ROW()-5,"0000"))</x:f>
      </x:c>
      <x:c r="C57" s="42"/>
      <x:c r="D57" s="72"/>
      <x:c r="E57" s="72"/>
      <x:c r="F57" s="37"/>
      <x:c r="G57" s="37"/>
      <x:c r="H57" s="37"/>
      <x:c r="I57" s="37"/>
      <x:c r="J57" s="37"/>
      <x:c r="K57" s="63" t="str">
        <x:f>IFERROR(INDEX('09_STAFF'!$C$6:$C$105,MATCH(J57,'09_STAFF'!$B$6:$B$105,0)),"")</x:f>
      </x:c>
      <x:c r="L57" s="37"/>
      <x:c r="M57" s="37"/>
      <x:c r="N57" s="37"/>
    </x:row>
    <x:row r="58">
      <x:c r="A58" s="37"/>
      <x:c r="B58" s="59" t="str">
        <x:f>IF(C58="","","CLS-"&amp;TEXT(C58,"yymmdd")&amp;"-"&amp;TEXT(ROW()-5,"0000"))</x:f>
      </x:c>
      <x:c r="C58" s="42"/>
      <x:c r="D58" s="72"/>
      <x:c r="E58" s="72"/>
      <x:c r="F58" s="37"/>
      <x:c r="G58" s="37"/>
      <x:c r="H58" s="37"/>
      <x:c r="I58" s="37"/>
      <x:c r="J58" s="37"/>
      <x:c r="K58" s="63" t="str">
        <x:f>IFERROR(INDEX('09_STAFF'!$C$6:$C$105,MATCH(J58,'09_STAFF'!$B$6:$B$105,0)),"")</x:f>
      </x:c>
      <x:c r="L58" s="37"/>
      <x:c r="M58" s="37"/>
      <x:c r="N58" s="37"/>
    </x:row>
    <x:row r="59">
      <x:c r="A59" s="37"/>
      <x:c r="B59" s="59" t="str">
        <x:f>IF(C59="","","CLS-"&amp;TEXT(C59,"yymmdd")&amp;"-"&amp;TEXT(ROW()-5,"0000"))</x:f>
      </x:c>
      <x:c r="C59" s="42"/>
      <x:c r="D59" s="72"/>
      <x:c r="E59" s="72"/>
      <x:c r="F59" s="37"/>
      <x:c r="G59" s="37"/>
      <x:c r="H59" s="37"/>
      <x:c r="I59" s="37"/>
      <x:c r="J59" s="37"/>
      <x:c r="K59" s="63" t="str">
        <x:f>IFERROR(INDEX('09_STAFF'!$C$6:$C$105,MATCH(J59,'09_STAFF'!$B$6:$B$105,0)),"")</x:f>
      </x:c>
      <x:c r="L59" s="37"/>
      <x:c r="M59" s="37"/>
      <x:c r="N59" s="37"/>
    </x:row>
    <x:row r="60">
      <x:c r="A60" s="37"/>
      <x:c r="B60" s="59" t="str">
        <x:f>IF(C60="","","CLS-"&amp;TEXT(C60,"yymmdd")&amp;"-"&amp;TEXT(ROW()-5,"0000"))</x:f>
      </x:c>
      <x:c r="C60" s="42"/>
      <x:c r="D60" s="72"/>
      <x:c r="E60" s="72"/>
      <x:c r="F60" s="37"/>
      <x:c r="G60" s="37"/>
      <x:c r="H60" s="37"/>
      <x:c r="I60" s="37"/>
      <x:c r="J60" s="37"/>
      <x:c r="K60" s="63" t="str">
        <x:f>IFERROR(INDEX('09_STAFF'!$C$6:$C$105,MATCH(J60,'09_STAFF'!$B$6:$B$105,0)),"")</x:f>
      </x:c>
      <x:c r="L60" s="37"/>
      <x:c r="M60" s="37"/>
      <x:c r="N60" s="37"/>
    </x:row>
    <x:row r="61">
      <x:c r="A61" s="37"/>
      <x:c r="B61" s="59" t="str">
        <x:f>IF(C61="","","CLS-"&amp;TEXT(C61,"yymmdd")&amp;"-"&amp;TEXT(ROW()-5,"0000"))</x:f>
      </x:c>
      <x:c r="C61" s="42"/>
      <x:c r="D61" s="72"/>
      <x:c r="E61" s="72"/>
      <x:c r="F61" s="37"/>
      <x:c r="G61" s="37"/>
      <x:c r="H61" s="37"/>
      <x:c r="I61" s="37"/>
      <x:c r="J61" s="37"/>
      <x:c r="K61" s="63" t="str">
        <x:f>IFERROR(INDEX('09_STAFF'!$C$6:$C$105,MATCH(J61,'09_STAFF'!$B$6:$B$105,0)),"")</x:f>
      </x:c>
      <x:c r="L61" s="37"/>
      <x:c r="M61" s="37"/>
      <x:c r="N61" s="37"/>
    </x:row>
    <x:row r="62">
      <x:c r="A62" s="37"/>
      <x:c r="B62" s="59" t="str">
        <x:f>IF(C62="","","CLS-"&amp;TEXT(C62,"yymmdd")&amp;"-"&amp;TEXT(ROW()-5,"0000"))</x:f>
      </x:c>
      <x:c r="C62" s="42"/>
      <x:c r="D62" s="72"/>
      <x:c r="E62" s="72"/>
      <x:c r="F62" s="37"/>
      <x:c r="G62" s="37"/>
      <x:c r="H62" s="37"/>
      <x:c r="I62" s="37"/>
      <x:c r="J62" s="37"/>
      <x:c r="K62" s="63" t="str">
        <x:f>IFERROR(INDEX('09_STAFF'!$C$6:$C$105,MATCH(J62,'09_STAFF'!$B$6:$B$105,0)),"")</x:f>
      </x:c>
      <x:c r="L62" s="37"/>
      <x:c r="M62" s="37"/>
      <x:c r="N62" s="37"/>
    </x:row>
    <x:row r="63">
      <x:c r="A63" s="37"/>
      <x:c r="B63" s="59" t="str">
        <x:f>IF(C63="","","CLS-"&amp;TEXT(C63,"yymmdd")&amp;"-"&amp;TEXT(ROW()-5,"0000"))</x:f>
      </x:c>
      <x:c r="C63" s="42"/>
      <x:c r="D63" s="72"/>
      <x:c r="E63" s="72"/>
      <x:c r="F63" s="37"/>
      <x:c r="G63" s="37"/>
      <x:c r="H63" s="37"/>
      <x:c r="I63" s="37"/>
      <x:c r="J63" s="37"/>
      <x:c r="K63" s="63" t="str">
        <x:f>IFERROR(INDEX('09_STAFF'!$C$6:$C$105,MATCH(J63,'09_STAFF'!$B$6:$B$105,0)),"")</x:f>
      </x:c>
      <x:c r="L63" s="37"/>
      <x:c r="M63" s="37"/>
      <x:c r="N63" s="37"/>
    </x:row>
    <x:row r="64">
      <x:c r="A64" s="37"/>
      <x:c r="B64" s="59" t="str">
        <x:f>IF(C64="","","CLS-"&amp;TEXT(C64,"yymmdd")&amp;"-"&amp;TEXT(ROW()-5,"0000"))</x:f>
      </x:c>
      <x:c r="C64" s="42"/>
      <x:c r="D64" s="72"/>
      <x:c r="E64" s="72"/>
      <x:c r="F64" s="37"/>
      <x:c r="G64" s="37"/>
      <x:c r="H64" s="37"/>
      <x:c r="I64" s="37"/>
      <x:c r="J64" s="37"/>
      <x:c r="K64" s="63" t="str">
        <x:f>IFERROR(INDEX('09_STAFF'!$C$6:$C$105,MATCH(J64,'09_STAFF'!$B$6:$B$105,0)),"")</x:f>
      </x:c>
      <x:c r="L64" s="37"/>
      <x:c r="M64" s="37"/>
      <x:c r="N64" s="37"/>
    </x:row>
    <x:row r="65">
      <x:c r="A65" s="37"/>
      <x:c r="B65" s="59" t="str">
        <x:f>IF(C65="","","CLS-"&amp;TEXT(C65,"yymmdd")&amp;"-"&amp;TEXT(ROW()-5,"0000"))</x:f>
      </x:c>
      <x:c r="C65" s="42"/>
      <x:c r="D65" s="72"/>
      <x:c r="E65" s="72"/>
      <x:c r="F65" s="37"/>
      <x:c r="G65" s="37"/>
      <x:c r="H65" s="37"/>
      <x:c r="I65" s="37"/>
      <x:c r="J65" s="37"/>
      <x:c r="K65" s="63" t="str">
        <x:f>IFERROR(INDEX('09_STAFF'!$C$6:$C$105,MATCH(J65,'09_STAFF'!$B$6:$B$105,0)),"")</x:f>
      </x:c>
      <x:c r="L65" s="37"/>
      <x:c r="M65" s="37"/>
      <x:c r="N65" s="37"/>
    </x:row>
    <x:row r="66">
      <x:c r="A66" s="37"/>
      <x:c r="B66" s="59" t="str">
        <x:f>IF(C66="","","CLS-"&amp;TEXT(C66,"yymmdd")&amp;"-"&amp;TEXT(ROW()-5,"0000"))</x:f>
      </x:c>
      <x:c r="C66" s="42"/>
      <x:c r="D66" s="72"/>
      <x:c r="E66" s="72"/>
      <x:c r="F66" s="37"/>
      <x:c r="G66" s="37"/>
      <x:c r="H66" s="37"/>
      <x:c r="I66" s="37"/>
      <x:c r="J66" s="37"/>
      <x:c r="K66" s="63" t="str">
        <x:f>IFERROR(INDEX('09_STAFF'!$C$6:$C$105,MATCH(J66,'09_STAFF'!$B$6:$B$105,0)),"")</x:f>
      </x:c>
      <x:c r="L66" s="37"/>
      <x:c r="M66" s="37"/>
      <x:c r="N66" s="37"/>
    </x:row>
    <x:row r="67">
      <x:c r="A67" s="37"/>
      <x:c r="B67" s="59" t="str">
        <x:f>IF(C67="","","CLS-"&amp;TEXT(C67,"yymmdd")&amp;"-"&amp;TEXT(ROW()-5,"0000"))</x:f>
      </x:c>
      <x:c r="C67" s="42"/>
      <x:c r="D67" s="72"/>
      <x:c r="E67" s="72"/>
      <x:c r="F67" s="37"/>
      <x:c r="G67" s="37"/>
      <x:c r="H67" s="37"/>
      <x:c r="I67" s="37"/>
      <x:c r="J67" s="37"/>
      <x:c r="K67" s="63" t="str">
        <x:f>IFERROR(INDEX('09_STAFF'!$C$6:$C$105,MATCH(J67,'09_STAFF'!$B$6:$B$105,0)),"")</x:f>
      </x:c>
      <x:c r="L67" s="37"/>
      <x:c r="M67" s="37"/>
      <x:c r="N67" s="37"/>
    </x:row>
    <x:row r="68">
      <x:c r="A68" s="37"/>
      <x:c r="B68" s="59" t="str">
        <x:f>IF(C68="","","CLS-"&amp;TEXT(C68,"yymmdd")&amp;"-"&amp;TEXT(ROW()-5,"0000"))</x:f>
      </x:c>
      <x:c r="C68" s="42"/>
      <x:c r="D68" s="72"/>
      <x:c r="E68" s="72"/>
      <x:c r="F68" s="37"/>
      <x:c r="G68" s="37"/>
      <x:c r="H68" s="37"/>
      <x:c r="I68" s="37"/>
      <x:c r="J68" s="37"/>
      <x:c r="K68" s="63" t="str">
        <x:f>IFERROR(INDEX('09_STAFF'!$C$6:$C$105,MATCH(J68,'09_STAFF'!$B$6:$B$105,0)),"")</x:f>
      </x:c>
      <x:c r="L68" s="37"/>
      <x:c r="M68" s="37"/>
      <x:c r="N68" s="37"/>
    </x:row>
    <x:row r="69">
      <x:c r="A69" s="37"/>
      <x:c r="B69" s="59" t="str">
        <x:f>IF(C69="","","CLS-"&amp;TEXT(C69,"yymmdd")&amp;"-"&amp;TEXT(ROW()-5,"0000"))</x:f>
      </x:c>
      <x:c r="C69" s="42"/>
      <x:c r="D69" s="72"/>
      <x:c r="E69" s="72"/>
      <x:c r="F69" s="37"/>
      <x:c r="G69" s="37"/>
      <x:c r="H69" s="37"/>
      <x:c r="I69" s="37"/>
      <x:c r="J69" s="37"/>
      <x:c r="K69" s="63" t="str">
        <x:f>IFERROR(INDEX('09_STAFF'!$C$6:$C$105,MATCH(J69,'09_STAFF'!$B$6:$B$105,0)),"")</x:f>
      </x:c>
      <x:c r="L69" s="37"/>
      <x:c r="M69" s="37"/>
      <x:c r="N69" s="37"/>
    </x:row>
    <x:row r="70">
      <x:c r="A70" s="37"/>
      <x:c r="B70" s="59" t="str">
        <x:f>IF(C70="","","CLS-"&amp;TEXT(C70,"yymmdd")&amp;"-"&amp;TEXT(ROW()-5,"0000"))</x:f>
      </x:c>
      <x:c r="C70" s="42"/>
      <x:c r="D70" s="72"/>
      <x:c r="E70" s="72"/>
      <x:c r="F70" s="37"/>
      <x:c r="G70" s="37"/>
      <x:c r="H70" s="37"/>
      <x:c r="I70" s="37"/>
      <x:c r="J70" s="37"/>
      <x:c r="K70" s="63" t="str">
        <x:f>IFERROR(INDEX('09_STAFF'!$C$6:$C$105,MATCH(J70,'09_STAFF'!$B$6:$B$105,0)),"")</x:f>
      </x:c>
      <x:c r="L70" s="37"/>
      <x:c r="M70" s="37"/>
      <x:c r="N70" s="37"/>
    </x:row>
    <x:row r="71">
      <x:c r="A71" s="37"/>
      <x:c r="B71" s="59" t="str">
        <x:f>IF(C71="","","CLS-"&amp;TEXT(C71,"yymmdd")&amp;"-"&amp;TEXT(ROW()-5,"0000"))</x:f>
      </x:c>
      <x:c r="C71" s="42"/>
      <x:c r="D71" s="72"/>
      <x:c r="E71" s="72"/>
      <x:c r="F71" s="37"/>
      <x:c r="G71" s="37"/>
      <x:c r="H71" s="37"/>
      <x:c r="I71" s="37"/>
      <x:c r="J71" s="37"/>
      <x:c r="K71" s="63" t="str">
        <x:f>IFERROR(INDEX('09_STAFF'!$C$6:$C$105,MATCH(J71,'09_STAFF'!$B$6:$B$105,0)),"")</x:f>
      </x:c>
      <x:c r="L71" s="37"/>
      <x:c r="M71" s="37"/>
      <x:c r="N71" s="37"/>
    </x:row>
    <x:row r="72">
      <x:c r="A72" s="37"/>
      <x:c r="B72" s="59" t="str">
        <x:f>IF(C72="","","CLS-"&amp;TEXT(C72,"yymmdd")&amp;"-"&amp;TEXT(ROW()-5,"0000"))</x:f>
      </x:c>
      <x:c r="C72" s="42"/>
      <x:c r="D72" s="72"/>
      <x:c r="E72" s="72"/>
      <x:c r="F72" s="37"/>
      <x:c r="G72" s="37"/>
      <x:c r="H72" s="37"/>
      <x:c r="I72" s="37"/>
      <x:c r="J72" s="37"/>
      <x:c r="K72" s="63" t="str">
        <x:f>IFERROR(INDEX('09_STAFF'!$C$6:$C$105,MATCH(J72,'09_STAFF'!$B$6:$B$105,0)),"")</x:f>
      </x:c>
      <x:c r="L72" s="37"/>
      <x:c r="M72" s="37"/>
      <x:c r="N72" s="37"/>
    </x:row>
    <x:row r="73">
      <x:c r="A73" s="37"/>
      <x:c r="B73" s="59" t="str">
        <x:f>IF(C73="","","CLS-"&amp;TEXT(C73,"yymmdd")&amp;"-"&amp;TEXT(ROW()-5,"0000"))</x:f>
      </x:c>
      <x:c r="C73" s="42"/>
      <x:c r="D73" s="72"/>
      <x:c r="E73" s="72"/>
      <x:c r="F73" s="37"/>
      <x:c r="G73" s="37"/>
      <x:c r="H73" s="37"/>
      <x:c r="I73" s="37"/>
      <x:c r="J73" s="37"/>
      <x:c r="K73" s="63" t="str">
        <x:f>IFERROR(INDEX('09_STAFF'!$C$6:$C$105,MATCH(J73,'09_STAFF'!$B$6:$B$105,0)),"")</x:f>
      </x:c>
      <x:c r="L73" s="37"/>
      <x:c r="M73" s="37"/>
      <x:c r="N73" s="37"/>
    </x:row>
    <x:row r="74">
      <x:c r="A74" s="37"/>
      <x:c r="B74" s="59" t="str">
        <x:f>IF(C74="","","CLS-"&amp;TEXT(C74,"yymmdd")&amp;"-"&amp;TEXT(ROW()-5,"0000"))</x:f>
      </x:c>
      <x:c r="C74" s="42"/>
      <x:c r="D74" s="72"/>
      <x:c r="E74" s="72"/>
      <x:c r="F74" s="37"/>
      <x:c r="G74" s="37"/>
      <x:c r="H74" s="37"/>
      <x:c r="I74" s="37"/>
      <x:c r="J74" s="37"/>
      <x:c r="K74" s="63" t="str">
        <x:f>IFERROR(INDEX('09_STAFF'!$C$6:$C$105,MATCH(J74,'09_STAFF'!$B$6:$B$105,0)),"")</x:f>
      </x:c>
      <x:c r="L74" s="37"/>
      <x:c r="M74" s="37"/>
      <x:c r="N74" s="37"/>
    </x:row>
    <x:row r="75">
      <x:c r="A75" s="37"/>
      <x:c r="B75" s="59" t="str">
        <x:f>IF(C75="","","CLS-"&amp;TEXT(C75,"yymmdd")&amp;"-"&amp;TEXT(ROW()-5,"0000"))</x:f>
      </x:c>
      <x:c r="C75" s="42"/>
      <x:c r="D75" s="72"/>
      <x:c r="E75" s="72"/>
      <x:c r="F75" s="37"/>
      <x:c r="G75" s="37"/>
      <x:c r="H75" s="37"/>
      <x:c r="I75" s="37"/>
      <x:c r="J75" s="37"/>
      <x:c r="K75" s="63" t="str">
        <x:f>IFERROR(INDEX('09_STAFF'!$C$6:$C$105,MATCH(J75,'09_STAFF'!$B$6:$B$105,0)),"")</x:f>
      </x:c>
      <x:c r="L75" s="37"/>
      <x:c r="M75" s="37"/>
      <x:c r="N75" s="37"/>
    </x:row>
    <x:row r="76">
      <x:c r="A76" s="37"/>
      <x:c r="B76" s="59" t="str">
        <x:f>IF(C76="","","CLS-"&amp;TEXT(C76,"yymmdd")&amp;"-"&amp;TEXT(ROW()-5,"0000"))</x:f>
      </x:c>
      <x:c r="C76" s="42"/>
      <x:c r="D76" s="72"/>
      <x:c r="E76" s="72"/>
      <x:c r="F76" s="37"/>
      <x:c r="G76" s="37"/>
      <x:c r="H76" s="37"/>
      <x:c r="I76" s="37"/>
      <x:c r="J76" s="37"/>
      <x:c r="K76" s="63" t="str">
        <x:f>IFERROR(INDEX('09_STAFF'!$C$6:$C$105,MATCH(J76,'09_STAFF'!$B$6:$B$105,0)),"")</x:f>
      </x:c>
      <x:c r="L76" s="37"/>
      <x:c r="M76" s="37"/>
      <x:c r="N76" s="37"/>
    </x:row>
    <x:row r="77">
      <x:c r="A77" s="37"/>
      <x:c r="B77" s="59" t="str">
        <x:f>IF(C77="","","CLS-"&amp;TEXT(C77,"yymmdd")&amp;"-"&amp;TEXT(ROW()-5,"0000"))</x:f>
      </x:c>
      <x:c r="C77" s="42"/>
      <x:c r="D77" s="72"/>
      <x:c r="E77" s="72"/>
      <x:c r="F77" s="37"/>
      <x:c r="G77" s="37"/>
      <x:c r="H77" s="37"/>
      <x:c r="I77" s="37"/>
      <x:c r="J77" s="37"/>
      <x:c r="K77" s="63" t="str">
        <x:f>IFERROR(INDEX('09_STAFF'!$C$6:$C$105,MATCH(J77,'09_STAFF'!$B$6:$B$105,0)),"")</x:f>
      </x:c>
      <x:c r="L77" s="37"/>
      <x:c r="M77" s="37"/>
      <x:c r="N77" s="37"/>
    </x:row>
    <x:row r="78">
      <x:c r="A78" s="37"/>
      <x:c r="B78" s="59" t="str">
        <x:f>IF(C78="","","CLS-"&amp;TEXT(C78,"yymmdd")&amp;"-"&amp;TEXT(ROW()-5,"0000"))</x:f>
      </x:c>
      <x:c r="C78" s="42"/>
      <x:c r="D78" s="72"/>
      <x:c r="E78" s="72"/>
      <x:c r="F78" s="37"/>
      <x:c r="G78" s="37"/>
      <x:c r="H78" s="37"/>
      <x:c r="I78" s="37"/>
      <x:c r="J78" s="37"/>
      <x:c r="K78" s="63" t="str">
        <x:f>IFERROR(INDEX('09_STAFF'!$C$6:$C$105,MATCH(J78,'09_STAFF'!$B$6:$B$105,0)),"")</x:f>
      </x:c>
      <x:c r="L78" s="37"/>
      <x:c r="M78" s="37"/>
      <x:c r="N78" s="37"/>
    </x:row>
    <x:row r="79">
      <x:c r="A79" s="37"/>
      <x:c r="B79" s="59" t="str">
        <x:f>IF(C79="","","CLS-"&amp;TEXT(C79,"yymmdd")&amp;"-"&amp;TEXT(ROW()-5,"0000"))</x:f>
      </x:c>
      <x:c r="C79" s="42"/>
      <x:c r="D79" s="72"/>
      <x:c r="E79" s="72"/>
      <x:c r="F79" s="37"/>
      <x:c r="G79" s="37"/>
      <x:c r="H79" s="37"/>
      <x:c r="I79" s="37"/>
      <x:c r="J79" s="37"/>
      <x:c r="K79" s="63" t="str">
        <x:f>IFERROR(INDEX('09_STAFF'!$C$6:$C$105,MATCH(J79,'09_STAFF'!$B$6:$B$105,0)),"")</x:f>
      </x:c>
      <x:c r="L79" s="37"/>
      <x:c r="M79" s="37"/>
      <x:c r="N79" s="37"/>
    </x:row>
    <x:row r="80">
      <x:c r="A80" s="37"/>
      <x:c r="B80" s="59" t="str">
        <x:f>IF(C80="","","CLS-"&amp;TEXT(C80,"yymmdd")&amp;"-"&amp;TEXT(ROW()-5,"0000"))</x:f>
      </x:c>
      <x:c r="C80" s="42"/>
      <x:c r="D80" s="72"/>
      <x:c r="E80" s="72"/>
      <x:c r="F80" s="37"/>
      <x:c r="G80" s="37"/>
      <x:c r="H80" s="37"/>
      <x:c r="I80" s="37"/>
      <x:c r="J80" s="37"/>
      <x:c r="K80" s="63" t="str">
        <x:f>IFERROR(INDEX('09_STAFF'!$C$6:$C$105,MATCH(J80,'09_STAFF'!$B$6:$B$105,0)),"")</x:f>
      </x:c>
      <x:c r="L80" s="37"/>
      <x:c r="M80" s="37"/>
      <x:c r="N80" s="37"/>
    </x:row>
    <x:row r="81">
      <x:c r="A81" s="37"/>
      <x:c r="B81" s="59" t="str">
        <x:f>IF(C81="","","CLS-"&amp;TEXT(C81,"yymmdd")&amp;"-"&amp;TEXT(ROW()-5,"0000"))</x:f>
      </x:c>
      <x:c r="C81" s="42"/>
      <x:c r="D81" s="72"/>
      <x:c r="E81" s="72"/>
      <x:c r="F81" s="37"/>
      <x:c r="G81" s="37"/>
      <x:c r="H81" s="37"/>
      <x:c r="I81" s="37"/>
      <x:c r="J81" s="37"/>
      <x:c r="K81" s="63" t="str">
        <x:f>IFERROR(INDEX('09_STAFF'!$C$6:$C$105,MATCH(J81,'09_STAFF'!$B$6:$B$105,0)),"")</x:f>
      </x:c>
      <x:c r="L81" s="37"/>
      <x:c r="M81" s="37"/>
      <x:c r="N81" s="37"/>
    </x:row>
    <x:row r="82">
      <x:c r="A82" s="37"/>
      <x:c r="B82" s="59" t="str">
        <x:f>IF(C82="","","CLS-"&amp;TEXT(C82,"yymmdd")&amp;"-"&amp;TEXT(ROW()-5,"0000"))</x:f>
      </x:c>
      <x:c r="C82" s="42"/>
      <x:c r="D82" s="72"/>
      <x:c r="E82" s="72"/>
      <x:c r="F82" s="37"/>
      <x:c r="G82" s="37"/>
      <x:c r="H82" s="37"/>
      <x:c r="I82" s="37"/>
      <x:c r="J82" s="37"/>
      <x:c r="K82" s="63" t="str">
        <x:f>IFERROR(INDEX('09_STAFF'!$C$6:$C$105,MATCH(J82,'09_STAFF'!$B$6:$B$105,0)),"")</x:f>
      </x:c>
      <x:c r="L82" s="37"/>
      <x:c r="M82" s="37"/>
      <x:c r="N82" s="37"/>
    </x:row>
    <x:row r="83">
      <x:c r="A83" s="37"/>
      <x:c r="B83" s="59" t="str">
        <x:f>IF(C83="","","CLS-"&amp;TEXT(C83,"yymmdd")&amp;"-"&amp;TEXT(ROW()-5,"0000"))</x:f>
      </x:c>
      <x:c r="C83" s="42"/>
      <x:c r="D83" s="72"/>
      <x:c r="E83" s="72"/>
      <x:c r="F83" s="37"/>
      <x:c r="G83" s="37"/>
      <x:c r="H83" s="37"/>
      <x:c r="I83" s="37"/>
      <x:c r="J83" s="37"/>
      <x:c r="K83" s="63" t="str">
        <x:f>IFERROR(INDEX('09_STAFF'!$C$6:$C$105,MATCH(J83,'09_STAFF'!$B$6:$B$105,0)),"")</x:f>
      </x:c>
      <x:c r="L83" s="37"/>
      <x:c r="M83" s="37"/>
      <x:c r="N83" s="37"/>
    </x:row>
    <x:row r="84">
      <x:c r="A84" s="37"/>
      <x:c r="B84" s="59" t="str">
        <x:f>IF(C84="","","CLS-"&amp;TEXT(C84,"yymmdd")&amp;"-"&amp;TEXT(ROW()-5,"0000"))</x:f>
      </x:c>
      <x:c r="C84" s="42"/>
      <x:c r="D84" s="72"/>
      <x:c r="E84" s="72"/>
      <x:c r="F84" s="37"/>
      <x:c r="G84" s="37"/>
      <x:c r="H84" s="37"/>
      <x:c r="I84" s="37"/>
      <x:c r="J84" s="37"/>
      <x:c r="K84" s="63" t="str">
        <x:f>IFERROR(INDEX('09_STAFF'!$C$6:$C$105,MATCH(J84,'09_STAFF'!$B$6:$B$105,0)),"")</x:f>
      </x:c>
      <x:c r="L84" s="37"/>
      <x:c r="M84" s="37"/>
      <x:c r="N84" s="37"/>
    </x:row>
    <x:row r="85">
      <x:c r="A85" s="37"/>
      <x:c r="B85" s="59" t="str">
        <x:f>IF(C85="","","CLS-"&amp;TEXT(C85,"yymmdd")&amp;"-"&amp;TEXT(ROW()-5,"0000"))</x:f>
      </x:c>
      <x:c r="C85" s="42"/>
      <x:c r="D85" s="72"/>
      <x:c r="E85" s="72"/>
      <x:c r="F85" s="37"/>
      <x:c r="G85" s="37"/>
      <x:c r="H85" s="37"/>
      <x:c r="I85" s="37"/>
      <x:c r="J85" s="37"/>
      <x:c r="K85" s="63" t="str">
        <x:f>IFERROR(INDEX('09_STAFF'!$C$6:$C$105,MATCH(J85,'09_STAFF'!$B$6:$B$105,0)),"")</x:f>
      </x:c>
      <x:c r="L85" s="37"/>
      <x:c r="M85" s="37"/>
      <x:c r="N85" s="37"/>
    </x:row>
    <x:row r="86">
      <x:c r="A86" s="37"/>
      <x:c r="B86" s="59" t="str">
        <x:f>IF(C86="","","CLS-"&amp;TEXT(C86,"yymmdd")&amp;"-"&amp;TEXT(ROW()-5,"0000"))</x:f>
      </x:c>
      <x:c r="C86" s="42"/>
      <x:c r="D86" s="72"/>
      <x:c r="E86" s="72"/>
      <x:c r="F86" s="37"/>
      <x:c r="G86" s="37"/>
      <x:c r="H86" s="37"/>
      <x:c r="I86" s="37"/>
      <x:c r="J86" s="37"/>
      <x:c r="K86" s="63" t="str">
        <x:f>IFERROR(INDEX('09_STAFF'!$C$6:$C$105,MATCH(J86,'09_STAFF'!$B$6:$B$105,0)),"")</x:f>
      </x:c>
      <x:c r="L86" s="37"/>
      <x:c r="M86" s="37"/>
      <x:c r="N86" s="37"/>
    </x:row>
    <x:row r="87">
      <x:c r="A87" s="37"/>
      <x:c r="B87" s="59" t="str">
        <x:f>IF(C87="","","CLS-"&amp;TEXT(C87,"yymmdd")&amp;"-"&amp;TEXT(ROW()-5,"0000"))</x:f>
      </x:c>
      <x:c r="C87" s="42"/>
      <x:c r="D87" s="72"/>
      <x:c r="E87" s="72"/>
      <x:c r="F87" s="37"/>
      <x:c r="G87" s="37"/>
      <x:c r="H87" s="37"/>
      <x:c r="I87" s="37"/>
      <x:c r="J87" s="37"/>
      <x:c r="K87" s="63" t="str">
        <x:f>IFERROR(INDEX('09_STAFF'!$C$6:$C$105,MATCH(J87,'09_STAFF'!$B$6:$B$105,0)),"")</x:f>
      </x:c>
      <x:c r="L87" s="37"/>
      <x:c r="M87" s="37"/>
      <x:c r="N87" s="37"/>
    </x:row>
    <x:row r="88">
      <x:c r="A88" s="37"/>
      <x:c r="B88" s="59" t="str">
        <x:f>IF(C88="","","CLS-"&amp;TEXT(C88,"yymmdd")&amp;"-"&amp;TEXT(ROW()-5,"0000"))</x:f>
      </x:c>
      <x:c r="C88" s="42"/>
      <x:c r="D88" s="72"/>
      <x:c r="E88" s="72"/>
      <x:c r="F88" s="37"/>
      <x:c r="G88" s="37"/>
      <x:c r="H88" s="37"/>
      <x:c r="I88" s="37"/>
      <x:c r="J88" s="37"/>
      <x:c r="K88" s="63" t="str">
        <x:f>IFERROR(INDEX('09_STAFF'!$C$6:$C$105,MATCH(J88,'09_STAFF'!$B$6:$B$105,0)),"")</x:f>
      </x:c>
      <x:c r="L88" s="37"/>
      <x:c r="M88" s="37"/>
      <x:c r="N88" s="37"/>
    </x:row>
    <x:row r="89">
      <x:c r="A89" s="37"/>
      <x:c r="B89" s="59" t="str">
        <x:f>IF(C89="","","CLS-"&amp;TEXT(C89,"yymmdd")&amp;"-"&amp;TEXT(ROW()-5,"0000"))</x:f>
      </x:c>
      <x:c r="C89" s="42"/>
      <x:c r="D89" s="72"/>
      <x:c r="E89" s="72"/>
      <x:c r="F89" s="37"/>
      <x:c r="G89" s="37"/>
      <x:c r="H89" s="37"/>
      <x:c r="I89" s="37"/>
      <x:c r="J89" s="37"/>
      <x:c r="K89" s="63" t="str">
        <x:f>IFERROR(INDEX('09_STAFF'!$C$6:$C$105,MATCH(J89,'09_STAFF'!$B$6:$B$105,0)),"")</x:f>
      </x:c>
      <x:c r="L89" s="37"/>
      <x:c r="M89" s="37"/>
      <x:c r="N89" s="37"/>
    </x:row>
    <x:row r="90">
      <x:c r="A90" s="37"/>
      <x:c r="B90" s="59" t="str">
        <x:f>IF(C90="","","CLS-"&amp;TEXT(C90,"yymmdd")&amp;"-"&amp;TEXT(ROW()-5,"0000"))</x:f>
      </x:c>
      <x:c r="C90" s="42"/>
      <x:c r="D90" s="72"/>
      <x:c r="E90" s="72"/>
      <x:c r="F90" s="37"/>
      <x:c r="G90" s="37"/>
      <x:c r="H90" s="37"/>
      <x:c r="I90" s="37"/>
      <x:c r="J90" s="37"/>
      <x:c r="K90" s="63" t="str">
        <x:f>IFERROR(INDEX('09_STAFF'!$C$6:$C$105,MATCH(J90,'09_STAFF'!$B$6:$B$105,0)),"")</x:f>
      </x:c>
      <x:c r="L90" s="37"/>
      <x:c r="M90" s="37"/>
      <x:c r="N90" s="37"/>
    </x:row>
    <x:row r="91">
      <x:c r="A91" s="37"/>
      <x:c r="B91" s="59" t="str">
        <x:f>IF(C91="","","CLS-"&amp;TEXT(C91,"yymmdd")&amp;"-"&amp;TEXT(ROW()-5,"0000"))</x:f>
      </x:c>
      <x:c r="C91" s="42"/>
      <x:c r="D91" s="72"/>
      <x:c r="E91" s="72"/>
      <x:c r="F91" s="37"/>
      <x:c r="G91" s="37"/>
      <x:c r="H91" s="37"/>
      <x:c r="I91" s="37"/>
      <x:c r="J91" s="37"/>
      <x:c r="K91" s="63" t="str">
        <x:f>IFERROR(INDEX('09_STAFF'!$C$6:$C$105,MATCH(J91,'09_STAFF'!$B$6:$B$105,0)),"")</x:f>
      </x:c>
      <x:c r="L91" s="37"/>
      <x:c r="M91" s="37"/>
      <x:c r="N91" s="37"/>
    </x:row>
    <x:row r="92">
      <x:c r="A92" s="37"/>
      <x:c r="B92" s="59" t="str">
        <x:f>IF(C92="","","CLS-"&amp;TEXT(C92,"yymmdd")&amp;"-"&amp;TEXT(ROW()-5,"0000"))</x:f>
      </x:c>
      <x:c r="C92" s="42"/>
      <x:c r="D92" s="72"/>
      <x:c r="E92" s="72"/>
      <x:c r="F92" s="37"/>
      <x:c r="G92" s="37"/>
      <x:c r="H92" s="37"/>
      <x:c r="I92" s="37"/>
      <x:c r="J92" s="37"/>
      <x:c r="K92" s="63" t="str">
        <x:f>IFERROR(INDEX('09_STAFF'!$C$6:$C$105,MATCH(J92,'09_STAFF'!$B$6:$B$105,0)),"")</x:f>
      </x:c>
      <x:c r="L92" s="37"/>
      <x:c r="M92" s="37"/>
      <x:c r="N92" s="37"/>
    </x:row>
    <x:row r="93">
      <x:c r="A93" s="37"/>
      <x:c r="B93" s="59" t="str">
        <x:f>IF(C93="","","CLS-"&amp;TEXT(C93,"yymmdd")&amp;"-"&amp;TEXT(ROW()-5,"0000"))</x:f>
      </x:c>
      <x:c r="C93" s="42"/>
      <x:c r="D93" s="72"/>
      <x:c r="E93" s="72"/>
      <x:c r="F93" s="37"/>
      <x:c r="G93" s="37"/>
      <x:c r="H93" s="37"/>
      <x:c r="I93" s="37"/>
      <x:c r="J93" s="37"/>
      <x:c r="K93" s="63" t="str">
        <x:f>IFERROR(INDEX('09_STAFF'!$C$6:$C$105,MATCH(J93,'09_STAFF'!$B$6:$B$105,0)),"")</x:f>
      </x:c>
      <x:c r="L93" s="37"/>
      <x:c r="M93" s="37"/>
      <x:c r="N93" s="37"/>
    </x:row>
    <x:row r="94">
      <x:c r="A94" s="37"/>
      <x:c r="B94" s="59" t="str">
        <x:f>IF(C94="","","CLS-"&amp;TEXT(C94,"yymmdd")&amp;"-"&amp;TEXT(ROW()-5,"0000"))</x:f>
      </x:c>
      <x:c r="C94" s="42"/>
      <x:c r="D94" s="72"/>
      <x:c r="E94" s="72"/>
      <x:c r="F94" s="37"/>
      <x:c r="G94" s="37"/>
      <x:c r="H94" s="37"/>
      <x:c r="I94" s="37"/>
      <x:c r="J94" s="37"/>
      <x:c r="K94" s="63" t="str">
        <x:f>IFERROR(INDEX('09_STAFF'!$C$6:$C$105,MATCH(J94,'09_STAFF'!$B$6:$B$105,0)),"")</x:f>
      </x:c>
      <x:c r="L94" s="37"/>
      <x:c r="M94" s="37"/>
      <x:c r="N94" s="37"/>
    </x:row>
    <x:row r="95">
      <x:c r="A95" s="37"/>
      <x:c r="B95" s="59" t="str">
        <x:f>IF(C95="","","CLS-"&amp;TEXT(C95,"yymmdd")&amp;"-"&amp;TEXT(ROW()-5,"0000"))</x:f>
      </x:c>
      <x:c r="C95" s="42"/>
      <x:c r="D95" s="72"/>
      <x:c r="E95" s="72"/>
      <x:c r="F95" s="37"/>
      <x:c r="G95" s="37"/>
      <x:c r="H95" s="37"/>
      <x:c r="I95" s="37"/>
      <x:c r="J95" s="37"/>
      <x:c r="K95" s="63" t="str">
        <x:f>IFERROR(INDEX('09_STAFF'!$C$6:$C$105,MATCH(J95,'09_STAFF'!$B$6:$B$105,0)),"")</x:f>
      </x:c>
      <x:c r="L95" s="37"/>
      <x:c r="M95" s="37"/>
      <x:c r="N95" s="37"/>
    </x:row>
    <x:row r="96">
      <x:c r="A96" s="37"/>
      <x:c r="B96" s="59" t="str">
        <x:f>IF(C96="","","CLS-"&amp;TEXT(C96,"yymmdd")&amp;"-"&amp;TEXT(ROW()-5,"0000"))</x:f>
      </x:c>
      <x:c r="C96" s="42"/>
      <x:c r="D96" s="72"/>
      <x:c r="E96" s="72"/>
      <x:c r="F96" s="37"/>
      <x:c r="G96" s="37"/>
      <x:c r="H96" s="37"/>
      <x:c r="I96" s="37"/>
      <x:c r="J96" s="37"/>
      <x:c r="K96" s="63" t="str">
        <x:f>IFERROR(INDEX('09_STAFF'!$C$6:$C$105,MATCH(J96,'09_STAFF'!$B$6:$B$105,0)),"")</x:f>
      </x:c>
      <x:c r="L96" s="37"/>
      <x:c r="M96" s="37"/>
      <x:c r="N96" s="37"/>
    </x:row>
    <x:row r="97">
      <x:c r="A97" s="37"/>
      <x:c r="B97" s="59" t="str">
        <x:f>IF(C97="","","CLS-"&amp;TEXT(C97,"yymmdd")&amp;"-"&amp;TEXT(ROW()-5,"0000"))</x:f>
      </x:c>
      <x:c r="C97" s="42"/>
      <x:c r="D97" s="72"/>
      <x:c r="E97" s="72"/>
      <x:c r="F97" s="37"/>
      <x:c r="G97" s="37"/>
      <x:c r="H97" s="37"/>
      <x:c r="I97" s="37"/>
      <x:c r="J97" s="37"/>
      <x:c r="K97" s="63" t="str">
        <x:f>IFERROR(INDEX('09_STAFF'!$C$6:$C$105,MATCH(J97,'09_STAFF'!$B$6:$B$105,0)),"")</x:f>
      </x:c>
      <x:c r="L97" s="37"/>
      <x:c r="M97" s="37"/>
      <x:c r="N97" s="37"/>
    </x:row>
    <x:row r="98">
      <x:c r="A98" s="37"/>
      <x:c r="B98" s="59" t="str">
        <x:f>IF(C98="","","CLS-"&amp;TEXT(C98,"yymmdd")&amp;"-"&amp;TEXT(ROW()-5,"0000"))</x:f>
      </x:c>
      <x:c r="C98" s="42"/>
      <x:c r="D98" s="72"/>
      <x:c r="E98" s="72"/>
      <x:c r="F98" s="37"/>
      <x:c r="G98" s="37"/>
      <x:c r="H98" s="37"/>
      <x:c r="I98" s="37"/>
      <x:c r="J98" s="37"/>
      <x:c r="K98" s="63" t="str">
        <x:f>IFERROR(INDEX('09_STAFF'!$C$6:$C$105,MATCH(J98,'09_STAFF'!$B$6:$B$105,0)),"")</x:f>
      </x:c>
      <x:c r="L98" s="37"/>
      <x:c r="M98" s="37"/>
      <x:c r="N98" s="37"/>
    </x:row>
    <x:row r="99">
      <x:c r="A99" s="37"/>
      <x:c r="B99" s="59" t="str">
        <x:f>IF(C99="","","CLS-"&amp;TEXT(C99,"yymmdd")&amp;"-"&amp;TEXT(ROW()-5,"0000"))</x:f>
      </x:c>
      <x:c r="C99" s="42"/>
      <x:c r="D99" s="72"/>
      <x:c r="E99" s="72"/>
      <x:c r="F99" s="37"/>
      <x:c r="G99" s="37"/>
      <x:c r="H99" s="37"/>
      <x:c r="I99" s="37"/>
      <x:c r="J99" s="37"/>
      <x:c r="K99" s="63" t="str">
        <x:f>IFERROR(INDEX('09_STAFF'!$C$6:$C$105,MATCH(J99,'09_STAFF'!$B$6:$B$105,0)),"")</x:f>
      </x:c>
      <x:c r="L99" s="37"/>
      <x:c r="M99" s="37"/>
      <x:c r="N99" s="37"/>
    </x:row>
    <x:row r="100">
      <x:c r="A100" s="37"/>
      <x:c r="B100" s="59" t="str">
        <x:f>IF(C100="","","CLS-"&amp;TEXT(C100,"yymmdd")&amp;"-"&amp;TEXT(ROW()-5,"0000"))</x:f>
      </x:c>
      <x:c r="C100" s="42"/>
      <x:c r="D100" s="72"/>
      <x:c r="E100" s="72"/>
      <x:c r="F100" s="37"/>
      <x:c r="G100" s="37"/>
      <x:c r="H100" s="37"/>
      <x:c r="I100" s="37"/>
      <x:c r="J100" s="37"/>
      <x:c r="K100" s="63" t="str">
        <x:f>IFERROR(INDEX('09_STAFF'!$C$6:$C$105,MATCH(J100,'09_STAFF'!$B$6:$B$105,0)),"")</x:f>
      </x:c>
      <x:c r="L100" s="37"/>
      <x:c r="M100" s="37"/>
      <x:c r="N100" s="37"/>
    </x:row>
    <x:row r="101">
      <x:c r="A101" s="37"/>
      <x:c r="B101" s="59" t="str">
        <x:f>IF(C101="","","CLS-"&amp;TEXT(C101,"yymmdd")&amp;"-"&amp;TEXT(ROW()-5,"0000"))</x:f>
      </x:c>
      <x:c r="C101" s="42"/>
      <x:c r="D101" s="72"/>
      <x:c r="E101" s="72"/>
      <x:c r="F101" s="37"/>
      <x:c r="G101" s="37"/>
      <x:c r="H101" s="37"/>
      <x:c r="I101" s="37"/>
      <x:c r="J101" s="37"/>
      <x:c r="K101" s="63" t="str">
        <x:f>IFERROR(INDEX('09_STAFF'!$C$6:$C$105,MATCH(J101,'09_STAFF'!$B$6:$B$105,0)),"")</x:f>
      </x:c>
      <x:c r="L101" s="37"/>
      <x:c r="M101" s="37"/>
      <x:c r="N101" s="37"/>
    </x:row>
    <x:row r="102">
      <x:c r="A102" s="37"/>
      <x:c r="B102" s="59" t="str">
        <x:f>IF(C102="","","CLS-"&amp;TEXT(C102,"yymmdd")&amp;"-"&amp;TEXT(ROW()-5,"0000"))</x:f>
      </x:c>
      <x:c r="C102" s="42"/>
      <x:c r="D102" s="72"/>
      <x:c r="E102" s="72"/>
      <x:c r="F102" s="37"/>
      <x:c r="G102" s="37"/>
      <x:c r="H102" s="37"/>
      <x:c r="I102" s="37"/>
      <x:c r="J102" s="37"/>
      <x:c r="K102" s="63" t="str">
        <x:f>IFERROR(INDEX('09_STAFF'!$C$6:$C$105,MATCH(J102,'09_STAFF'!$B$6:$B$105,0)),"")</x:f>
      </x:c>
      <x:c r="L102" s="37"/>
      <x:c r="M102" s="37"/>
      <x:c r="N102" s="37"/>
    </x:row>
    <x:row r="103">
      <x:c r="A103" s="37"/>
      <x:c r="B103" s="59" t="str">
        <x:f>IF(C103="","","CLS-"&amp;TEXT(C103,"yymmdd")&amp;"-"&amp;TEXT(ROW()-5,"0000"))</x:f>
      </x:c>
      <x:c r="C103" s="42"/>
      <x:c r="D103" s="72"/>
      <x:c r="E103" s="72"/>
      <x:c r="F103" s="37"/>
      <x:c r="G103" s="37"/>
      <x:c r="H103" s="37"/>
      <x:c r="I103" s="37"/>
      <x:c r="J103" s="37"/>
      <x:c r="K103" s="63" t="str">
        <x:f>IFERROR(INDEX('09_STAFF'!$C$6:$C$105,MATCH(J103,'09_STAFF'!$B$6:$B$105,0)),"")</x:f>
      </x:c>
      <x:c r="L103" s="37"/>
      <x:c r="M103" s="37"/>
      <x:c r="N103" s="37"/>
    </x:row>
    <x:row r="104">
      <x:c r="A104" s="37"/>
      <x:c r="B104" s="59" t="str">
        <x:f>IF(C104="","","CLS-"&amp;TEXT(C104,"yymmdd")&amp;"-"&amp;TEXT(ROW()-5,"0000"))</x:f>
      </x:c>
      <x:c r="C104" s="42"/>
      <x:c r="D104" s="72"/>
      <x:c r="E104" s="72"/>
      <x:c r="F104" s="37"/>
      <x:c r="G104" s="37"/>
      <x:c r="H104" s="37"/>
      <x:c r="I104" s="37"/>
      <x:c r="J104" s="37"/>
      <x:c r="K104" s="63" t="str">
        <x:f>IFERROR(INDEX('09_STAFF'!$C$6:$C$105,MATCH(J104,'09_STAFF'!$B$6:$B$105,0)),"")</x:f>
      </x:c>
      <x:c r="L104" s="37"/>
      <x:c r="M104" s="37"/>
      <x:c r="N104" s="37"/>
    </x:row>
    <x:row r="105">
      <x:c r="A105" s="37"/>
      <x:c r="B105" s="59" t="str">
        <x:f>IF(C105="","","CLS-"&amp;TEXT(C105,"yymmdd")&amp;"-"&amp;TEXT(ROW()-5,"0000"))</x:f>
      </x:c>
      <x:c r="C105" s="42"/>
      <x:c r="D105" s="72"/>
      <x:c r="E105" s="72"/>
      <x:c r="F105" s="37"/>
      <x:c r="G105" s="37"/>
      <x:c r="H105" s="37"/>
      <x:c r="I105" s="37"/>
      <x:c r="J105" s="37"/>
      <x:c r="K105" s="63" t="str">
        <x:f>IFERROR(INDEX('09_STAFF'!$C$6:$C$105,MATCH(J105,'09_STAFF'!$B$6:$B$105,0)),"")</x:f>
      </x:c>
      <x:c r="L105" s="37"/>
      <x:c r="M105" s="37"/>
      <x:c r="N105" s="37"/>
    </x:row>
  </x:sheetData>
  <x:mergeCells>
    <x:mergeCell ref="A1:N1"/>
    <x:mergeCell ref="A2:N2"/>
    <x:mergeCell ref="A4:N4"/>
  </x:mergeCells>
  <x:dataValidations count="7">
    <x:dataValidation type="list" sqref="A6:A105">
      <x:formula1>99_SETTINGS!$D$19:$D$20</x:formula1>
    </x:dataValidation>
    <x:dataValidation type="list" sqref="F6:F105">
      <x:formula1>99_SETTINGS!$D$5:$D$8</x:formula1>
    </x:dataValidation>
    <x:dataValidation type="list" sqref="H6:H105">
      <x:formula1>99_SETTINGS!$G$5:$G$11</x:formula1>
    </x:dataValidation>
    <x:dataValidation type="list" sqref="I6:I105">
      <x:formula1>99_SETTINGS!$H$5:$H$9</x:formula1>
    </x:dataValidation>
    <x:dataValidation type="list" sqref="J6:J105">
      <x:formula1>'09_STAFF'!$B$6:$B$105</x:formula1>
    </x:dataValidation>
    <x:dataValidation type="list" sqref="M6:M105">
      <x:formula1>99_SETTINGS!$H$19:$H$21</x:formula1>
    </x:dataValidation>
    <x:dataValidation type="decimal" operator="between" sqref="L6:L105">
      <x:formula1>1</x:formula1>
      <x:formula2>50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5e95d6ea2f54b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3" hidden="0" customWidth="1"/>
    <x:col min="5" max="5" width="14" hidden="0" customWidth="1"/>
    <x:col min="6" max="6" width="24" hidden="0" customWidth="1"/>
    <x:col min="7" max="7" width="18" hidden="0" customWidth="1"/>
    <x:col min="8" max="8" width="24" hidden="0" customWidth="1"/>
    <x:col min="9" max="9" width="22" hidden="0" customWidth="1"/>
    <x:col min="10" max="10" width="16" hidden="0" customWidth="1"/>
    <x:col min="11" max="11" width="17" hidden="0" customWidth="1"/>
    <x:col min="12" max="12" width="12" hidden="0" customWidth="1"/>
    <x:col min="13" max="13" width="13" hidden="0" customWidth="1"/>
    <x:col min="14" max="14" width="14" hidden="0" customWidth="1"/>
    <x:col min="15" max="15" width="30" hidden="0" customWidth="1"/>
  </x:cols>
  <x:sheetData>
    <x:row r="1" ht="34" customHeight="1">
      <x:c r="A1" s="4" t="str">
        <x:v>BOOKINGS &amp; ATTENDANCE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6" customHeight="1">
      <x:c r="A2" s="10" t="str">
        <x:v>Select Class ID, Member ID and attendance status. Linked fields update automatically.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>
      <x:c r="A4" s="53" t="str">
        <x:v>Yellow = staff input | Grey/green = automatic calculation | Demo rows can be replaced with real data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</x:row>
    <x:row r="5" ht="34" customHeight="1">
      <x:c r="A5" s="18" t="str">
        <x:v>Record Type</x:v>
      </x:c>
      <x:c r="B5" s="18" t="str">
        <x:v>Attendance ID</x:v>
      </x:c>
      <x:c r="C5" s="18" t="str">
        <x:v>Class ID</x:v>
      </x:c>
      <x:c r="D5" s="18" t="str">
        <x:v>Class Date</x:v>
      </x:c>
      <x:c r="E5" s="18" t="str">
        <x:v>Member ID</x:v>
      </x:c>
      <x:c r="F5" s="18" t="str">
        <x:v>Member Name</x:v>
      </x:c>
      <x:c r="G5" s="18" t="str">
        <x:v>Branch</x:v>
      </x:c>
      <x:c r="H5" s="18" t="str">
        <x:v>Class Type</x:v>
      </x:c>
      <x:c r="I5" s="18" t="str">
        <x:v>Instructor</x:v>
      </x:c>
      <x:c r="J5" s="18" t="str">
        <x:v>Booking Status</x:v>
      </x:c>
      <x:c r="K5" s="18" t="str">
        <x:v>Attendance Status</x:v>
      </x:c>
      <x:c r="L5" s="18" t="str">
        <x:v>Check-in Time</x:v>
      </x:c>
      <x:c r="M5" s="18" t="str">
        <x:v>Session Count</x:v>
      </x:c>
      <x:c r="N5" s="18" t="str">
        <x:v>Client Rating (1-5)</x:v>
      </x:c>
      <x:c r="O5" s="18" t="str">
        <x:v>Notes</x:v>
      </x:c>
    </x:row>
    <x:row r="6">
      <x:c r="A6" s="37" t="str">
        <x:v>DEMO</x:v>
      </x:c>
      <x:c r="B6" s="59" t="str">
        <x:f>IF(OR(C6="",E6=""),"","ATT-"&amp;TEXT(ROW()-5,"00000"))</x:f>
        <x:v>ATT-00001</x:v>
      </x:c>
      <x:c r="C6" s="37" t="str">
        <x:v>CLS-260105-0001</x:v>
      </x:c>
      <x:c r="D6" s="74" t="n">
        <x:f>IFERROR(INDEX('03_CLASS_SCHEDULE'!$C$6:$C$105,MATCH(C6,'03_CLASS_SCHEDULE'!$B$6:$B$105,0)),"")</x:f>
        <x:v>46027</x:v>
      </x:c>
      <x:c r="E6" s="37" t="str">
        <x:v>MBR-0001</x:v>
      </x:c>
      <x:c r="F6" s="63" t="str">
        <x:f>IFERROR(INDEX('02_MEMBERS'!$C$6:$C$105,MATCH(E6,'02_MEMBERS'!$B$6:$B$105,0)),"")</x:f>
        <x:v>Aarati Karki</x:v>
      </x:c>
      <x:c r="G6" s="63" t="str">
        <x:f>IFERROR(INDEX('03_CLASS_SCHEDULE'!$F$6:$F$105,MATCH(C6,'03_CLASS_SCHEDULE'!$B$6:$B$105,0)),"")</x:f>
        <x:v>Main Studio</x:v>
      </x:c>
      <x:c r="H6" s="63" t="str">
        <x:f>IFERROR(INDEX('03_CLASS_SCHEDULE'!$H$6:$H$105,MATCH(C6,'03_CLASS_SCHEDULE'!$B$6:$B$105,0)),"")</x:f>
        <x:v>Reformer Beginner</x:v>
      </x:c>
      <x:c r="I6" s="63" t="str">
        <x:f>IFERROR(INDEX('03_CLASS_SCHEDULE'!$K$6:$K$105,MATCH(C6,'03_CLASS_SCHEDULE'!$B$6:$B$105,0)),"")</x:f>
        <x:v>Maya Gurung</x:v>
      </x:c>
      <x:c r="J6" s="37" t="str">
        <x:v>Booked</x:v>
      </x:c>
      <x:c r="K6" s="37" t="str">
        <x:v>No-show</x:v>
      </x:c>
      <x:c r="L6" s="72" t="n">
        <x:v>0.2881944444444444</x:v>
      </x:c>
      <x:c r="M6" s="59" t="n">
        <x:f>IF(OR(K6="Attended",K6="Late"),1,0)</x:f>
        <x:v>0</x:v>
      </x:c>
      <x:c r="N6" s="37" t="n">
        <x:v>4</x:v>
      </x:c>
      <x:c r="O6" s="37" t="str">
        <x:v>Demo attendance</x:v>
      </x:c>
    </x:row>
    <x:row r="7">
      <x:c r="A7" s="37" t="str">
        <x:v>DEMO</x:v>
      </x:c>
      <x:c r="B7" s="59" t="str">
        <x:f>IF(OR(C7="",E7=""),"","ATT-"&amp;TEXT(ROW()-5,"00000"))</x:f>
        <x:v>ATT-00002</x:v>
      </x:c>
      <x:c r="C7" s="37" t="str">
        <x:v>CLS-260105-0001</x:v>
      </x:c>
      <x:c r="D7" s="74" t="n">
        <x:f>IFERROR(INDEX('03_CLASS_SCHEDULE'!$C$6:$C$105,MATCH(C7,'03_CLASS_SCHEDULE'!$B$6:$B$105,0)),"")</x:f>
        <x:v>46027</x:v>
      </x:c>
      <x:c r="E7" s="37" t="str">
        <x:v>MBR-0002</x:v>
      </x:c>
      <x:c r="F7" s="63" t="str">
        <x:f>IFERROR(INDEX('02_MEMBERS'!$C$6:$C$105,MATCH(E7,'02_MEMBERS'!$B$6:$B$105,0)),"")</x:f>
        <x:v>Sneha Joshi</x:v>
      </x:c>
      <x:c r="G7" s="63" t="str">
        <x:f>IFERROR(INDEX('03_CLASS_SCHEDULE'!$F$6:$F$105,MATCH(C7,'03_CLASS_SCHEDULE'!$B$6:$B$105,0)),"")</x:f>
        <x:v>Main Studio</x:v>
      </x:c>
      <x:c r="H7" s="63" t="str">
        <x:f>IFERROR(INDEX('03_CLASS_SCHEDULE'!$H$6:$H$105,MATCH(C7,'03_CLASS_SCHEDULE'!$B$6:$B$105,0)),"")</x:f>
        <x:v>Reformer Beginner</x:v>
      </x:c>
      <x:c r="I7" s="63" t="str">
        <x:f>IFERROR(INDEX('03_CLASS_SCHEDULE'!$K$6:$K$105,MATCH(C7,'03_CLASS_SCHEDULE'!$B$6:$B$105,0)),"")</x:f>
        <x:v>Maya Gurung</x:v>
      </x:c>
      <x:c r="J7" s="37" t="str">
        <x:v>Booked</x:v>
      </x:c>
      <x:c r="K7" s="37" t="str">
        <x:v>Attended</x:v>
      </x:c>
      <x:c r="L7" s="72" t="n">
        <x:v>0.2881944444444444</x:v>
      </x:c>
      <x:c r="M7" s="59" t="n">
        <x:f>IF(OR(K7="Attended",K7="Late"),1,0)</x:f>
        <x:v>1</x:v>
      </x:c>
      <x:c r="N7" s="37" t="n">
        <x:v>5</x:v>
      </x:c>
      <x:c r="O7" s="37" t="str">
        <x:v>Demo attendance</x:v>
      </x:c>
    </x:row>
    <x:row r="8">
      <x:c r="A8" s="37" t="str">
        <x:v>DEMO</x:v>
      </x:c>
      <x:c r="B8" s="59" t="str">
        <x:f>IF(OR(C8="",E8=""),"","ATT-"&amp;TEXT(ROW()-5,"00000"))</x:f>
        <x:v>ATT-00003</x:v>
      </x:c>
      <x:c r="C8" s="37" t="str">
        <x:v>CLS-260105-0001</x:v>
      </x:c>
      <x:c r="D8" s="74" t="n">
        <x:f>IFERROR(INDEX('03_CLASS_SCHEDULE'!$C$6:$C$105,MATCH(C8,'03_CLASS_SCHEDULE'!$B$6:$B$105,0)),"")</x:f>
        <x:v>46027</x:v>
      </x:c>
      <x:c r="E8" s="37" t="str">
        <x:v>MBR-0003</x:v>
      </x:c>
      <x:c r="F8" s="63" t="str">
        <x:f>IFERROR(INDEX('02_MEMBERS'!$C$6:$C$105,MATCH(E8,'02_MEMBERS'!$B$6:$B$105,0)),"")</x:f>
        <x:v>Prerana Shrestha</x:v>
      </x:c>
      <x:c r="G8" s="63" t="str">
        <x:f>IFERROR(INDEX('03_CLASS_SCHEDULE'!$F$6:$F$105,MATCH(C8,'03_CLASS_SCHEDULE'!$B$6:$B$105,0)),"")</x:f>
        <x:v>Main Studio</x:v>
      </x:c>
      <x:c r="H8" s="63" t="str">
        <x:f>IFERROR(INDEX('03_CLASS_SCHEDULE'!$H$6:$H$105,MATCH(C8,'03_CLASS_SCHEDULE'!$B$6:$B$105,0)),"")</x:f>
        <x:v>Reformer Beginner</x:v>
      </x:c>
      <x:c r="I8" s="63" t="str">
        <x:f>IFERROR(INDEX('03_CLASS_SCHEDULE'!$K$6:$K$105,MATCH(C8,'03_CLASS_SCHEDULE'!$B$6:$B$105,0)),"")</x:f>
        <x:v>Maya Gurung</x:v>
      </x:c>
      <x:c r="J8" s="37" t="str">
        <x:v>Booked</x:v>
      </x:c>
      <x:c r="K8" s="37" t="str">
        <x:v>Attended</x:v>
      </x:c>
      <x:c r="L8" s="72" t="n">
        <x:v>0.2881944444444444</x:v>
      </x:c>
      <x:c r="M8" s="59" t="n">
        <x:f>IF(OR(K8="Attended",K8="Late"),1,0)</x:f>
        <x:v>1</x:v>
      </x:c>
      <x:c r="N8" s="37" t="n">
        <x:v>4</x:v>
      </x:c>
      <x:c r="O8" s="37" t="str">
        <x:v>Demo attendance</x:v>
      </x:c>
    </x:row>
    <x:row r="9">
      <x:c r="A9" s="37" t="str">
        <x:v>DEMO</x:v>
      </x:c>
      <x:c r="B9" s="59" t="str">
        <x:f>IF(OR(C9="",E9=""),"","ATT-"&amp;TEXT(ROW()-5,"00000"))</x:f>
        <x:v>ATT-00004</x:v>
      </x:c>
      <x:c r="C9" s="37" t="str">
        <x:v>CLS-260112-0002</x:v>
      </x:c>
      <x:c r="D9" s="74" t="n">
        <x:f>IFERROR(INDEX('03_CLASS_SCHEDULE'!$C$6:$C$105,MATCH(C9,'03_CLASS_SCHEDULE'!$B$6:$B$105,0)),"")</x:f>
        <x:v>46034</x:v>
      </x:c>
      <x:c r="E9" s="37" t="str">
        <x:v>MBR-0002</x:v>
      </x:c>
      <x:c r="F9" s="63" t="str">
        <x:f>IFERROR(INDEX('02_MEMBERS'!$C$6:$C$105,MATCH(E9,'02_MEMBERS'!$B$6:$B$105,0)),"")</x:f>
        <x:v>Sneha Joshi</x:v>
      </x:c>
      <x:c r="G9" s="63" t="str">
        <x:f>IFERROR(INDEX('03_CLASS_SCHEDULE'!$F$6:$F$105,MATCH(C9,'03_CLASS_SCHEDULE'!$B$6:$B$105,0)),"")</x:f>
        <x:v>Main Studio</x:v>
      </x:c>
      <x:c r="H9" s="63" t="str">
        <x:f>IFERROR(INDEX('03_CLASS_SCHEDULE'!$H$6:$H$105,MATCH(C9,'03_CLASS_SCHEDULE'!$B$6:$B$105,0)),"")</x:f>
        <x:v>Reformer Intermediate</x:v>
      </x:c>
      <x:c r="I9" s="63" t="str">
        <x:f>IFERROR(INDEX('03_CLASS_SCHEDULE'!$K$6:$K$105,MATCH(C9,'03_CLASS_SCHEDULE'!$B$6:$B$105,0)),"")</x:f>
        <x:v>Riya Thapa</x:v>
      </x:c>
      <x:c r="J9" s="37" t="str">
        <x:v>Booked</x:v>
      </x:c>
      <x:c r="K9" s="37" t="str">
        <x:v>Attended</x:v>
      </x:c>
      <x:c r="L9" s="72" t="n">
        <x:v>0.2881944444444444</x:v>
      </x:c>
      <x:c r="M9" s="59" t="n">
        <x:f>IF(OR(K9="Attended",K9="Late"),1,0)</x:f>
        <x:v>1</x:v>
      </x:c>
      <x:c r="N9" s="37" t="n">
        <x:v>4</x:v>
      </x:c>
      <x:c r="O9" s="37" t="str">
        <x:v>Demo attendance</x:v>
      </x:c>
    </x:row>
    <x:row r="10">
      <x:c r="A10" s="37" t="str">
        <x:v>DEMO</x:v>
      </x:c>
      <x:c r="B10" s="59" t="str">
        <x:f>IF(OR(C10="",E10=""),"","ATT-"&amp;TEXT(ROW()-5,"00000"))</x:f>
        <x:v>ATT-00005</x:v>
      </x:c>
      <x:c r="C10" s="37" t="str">
        <x:v>CLS-260112-0002</x:v>
      </x:c>
      <x:c r="D10" s="74" t="n">
        <x:f>IFERROR(INDEX('03_CLASS_SCHEDULE'!$C$6:$C$105,MATCH(C10,'03_CLASS_SCHEDULE'!$B$6:$B$105,0)),"")</x:f>
        <x:v>46034</x:v>
      </x:c>
      <x:c r="E10" s="37" t="str">
        <x:v>MBR-0003</x:v>
      </x:c>
      <x:c r="F10" s="63" t="str">
        <x:f>IFERROR(INDEX('02_MEMBERS'!$C$6:$C$105,MATCH(E10,'02_MEMBERS'!$B$6:$B$105,0)),"")</x:f>
        <x:v>Prerana Shrestha</x:v>
      </x:c>
      <x:c r="G10" s="63" t="str">
        <x:f>IFERROR(INDEX('03_CLASS_SCHEDULE'!$F$6:$F$105,MATCH(C10,'03_CLASS_SCHEDULE'!$B$6:$B$105,0)),"")</x:f>
        <x:v>Main Studio</x:v>
      </x:c>
      <x:c r="H10" s="63" t="str">
        <x:f>IFERROR(INDEX('03_CLASS_SCHEDULE'!$H$6:$H$105,MATCH(C10,'03_CLASS_SCHEDULE'!$B$6:$B$105,0)),"")</x:f>
        <x:v>Reformer Intermediate</x:v>
      </x:c>
      <x:c r="I10" s="63" t="str">
        <x:f>IFERROR(INDEX('03_CLASS_SCHEDULE'!$K$6:$K$105,MATCH(C10,'03_CLASS_SCHEDULE'!$B$6:$B$105,0)),"")</x:f>
        <x:v>Riya Thapa</x:v>
      </x:c>
      <x:c r="J10" s="37" t="str">
        <x:v>Booked</x:v>
      </x:c>
      <x:c r="K10" s="37" t="str">
        <x:v>Attended</x:v>
      </x:c>
      <x:c r="L10" s="72" t="n">
        <x:v>0.2881944444444444</x:v>
      </x:c>
      <x:c r="M10" s="59" t="n">
        <x:f>IF(OR(K10="Attended",K10="Late"),1,0)</x:f>
        <x:v>1</x:v>
      </x:c>
      <x:c r="N10" s="37" t="n">
        <x:v>5</x:v>
      </x:c>
      <x:c r="O10" s="37" t="str">
        <x:v>Demo attendance</x:v>
      </x:c>
    </x:row>
    <x:row r="11">
      <x:c r="A11" s="37" t="str">
        <x:v>DEMO</x:v>
      </x:c>
      <x:c r="B11" s="59" t="str">
        <x:f>IF(OR(C11="",E11=""),"","ATT-"&amp;TEXT(ROW()-5,"00000"))</x:f>
        <x:v>ATT-00006</x:v>
      </x:c>
      <x:c r="C11" s="37" t="str">
        <x:v>CLS-260112-0002</x:v>
      </x:c>
      <x:c r="D11" s="74" t="n">
        <x:f>IFERROR(INDEX('03_CLASS_SCHEDULE'!$C$6:$C$105,MATCH(C11,'03_CLASS_SCHEDULE'!$B$6:$B$105,0)),"")</x:f>
        <x:v>46034</x:v>
      </x:c>
      <x:c r="E11" s="37" t="str">
        <x:v>MBR-0004</x:v>
      </x:c>
      <x:c r="F11" s="63" t="str">
        <x:f>IFERROR(INDEX('02_MEMBERS'!$C$6:$C$105,MATCH(E11,'02_MEMBERS'!$B$6:$B$105,0)),"")</x:f>
        <x:v>Nina Maharjan</x:v>
      </x:c>
      <x:c r="G11" s="63" t="str">
        <x:f>IFERROR(INDEX('03_CLASS_SCHEDULE'!$F$6:$F$105,MATCH(C11,'03_CLASS_SCHEDULE'!$B$6:$B$105,0)),"")</x:f>
        <x:v>Main Studio</x:v>
      </x:c>
      <x:c r="H11" s="63" t="str">
        <x:f>IFERROR(INDEX('03_CLASS_SCHEDULE'!$H$6:$H$105,MATCH(C11,'03_CLASS_SCHEDULE'!$B$6:$B$105,0)),"")</x:f>
        <x:v>Reformer Intermediate</x:v>
      </x:c>
      <x:c r="I11" s="63" t="str">
        <x:f>IFERROR(INDEX('03_CLASS_SCHEDULE'!$K$6:$K$105,MATCH(C11,'03_CLASS_SCHEDULE'!$B$6:$B$105,0)),"")</x:f>
        <x:v>Riya Thapa</x:v>
      </x:c>
      <x:c r="J11" s="37" t="str">
        <x:v>Booked</x:v>
      </x:c>
      <x:c r="K11" s="37" t="str">
        <x:v>Attended</x:v>
      </x:c>
      <x:c r="L11" s="72" t="n">
        <x:v>0.2881944444444444</x:v>
      </x:c>
      <x:c r="M11" s="59" t="n">
        <x:f>IF(OR(K11="Attended",K11="Late"),1,0)</x:f>
        <x:v>1</x:v>
      </x:c>
      <x:c r="N11" s="37" t="n">
        <x:v>4</x:v>
      </x:c>
      <x:c r="O11" s="37" t="str">
        <x:v>Demo attendance</x:v>
      </x:c>
    </x:row>
    <x:row r="12">
      <x:c r="A12" s="37" t="str">
        <x:v>DEMO</x:v>
      </x:c>
      <x:c r="B12" s="59" t="str">
        <x:f>IF(OR(C12="",E12=""),"","ATT-"&amp;TEXT(ROW()-5,"00000"))</x:f>
        <x:v>ATT-00007</x:v>
      </x:c>
      <x:c r="C12" s="37" t="str">
        <x:v>CLS-260112-0002</x:v>
      </x:c>
      <x:c r="D12" s="74" t="n">
        <x:f>IFERROR(INDEX('03_CLASS_SCHEDULE'!$C$6:$C$105,MATCH(C12,'03_CLASS_SCHEDULE'!$B$6:$B$105,0)),"")</x:f>
        <x:v>46034</x:v>
      </x:c>
      <x:c r="E12" s="37" t="str">
        <x:v>MBR-0005</x:v>
      </x:c>
      <x:c r="F12" s="63" t="str">
        <x:f>IFERROR(INDEX('02_MEMBERS'!$C$6:$C$105,MATCH(E12,'02_MEMBERS'!$B$6:$B$105,0)),"")</x:f>
        <x:v>Samira Rana</x:v>
      </x:c>
      <x:c r="G12" s="63" t="str">
        <x:f>IFERROR(INDEX('03_CLASS_SCHEDULE'!$F$6:$F$105,MATCH(C12,'03_CLASS_SCHEDULE'!$B$6:$B$105,0)),"")</x:f>
        <x:v>Main Studio</x:v>
      </x:c>
      <x:c r="H12" s="63" t="str">
        <x:f>IFERROR(INDEX('03_CLASS_SCHEDULE'!$H$6:$H$105,MATCH(C12,'03_CLASS_SCHEDULE'!$B$6:$B$105,0)),"")</x:f>
        <x:v>Reformer Intermediate</x:v>
      </x:c>
      <x:c r="I12" s="63" t="str">
        <x:f>IFERROR(INDEX('03_CLASS_SCHEDULE'!$K$6:$K$105,MATCH(C12,'03_CLASS_SCHEDULE'!$B$6:$B$105,0)),"")</x:f>
        <x:v>Riya Thapa</x:v>
      </x:c>
      <x:c r="J12" s="37" t="str">
        <x:v>Booked</x:v>
      </x:c>
      <x:c r="K12" s="37" t="str">
        <x:v>Attended</x:v>
      </x:c>
      <x:c r="L12" s="72" t="n">
        <x:v>0.2881944444444444</x:v>
      </x:c>
      <x:c r="M12" s="59" t="n">
        <x:f>IF(OR(K12="Attended",K12="Late"),1,0)</x:f>
        <x:v>1</x:v>
      </x:c>
      <x:c r="N12" s="37" t="n">
        <x:v>5</x:v>
      </x:c>
      <x:c r="O12" s="37" t="str">
        <x:v>Demo attendance</x:v>
      </x:c>
    </x:row>
    <x:row r="13">
      <x:c r="A13" s="37" t="str">
        <x:v>DEMO</x:v>
      </x:c>
      <x:c r="B13" s="59" t="str">
        <x:f>IF(OR(C13="",E13=""),"","ATT-"&amp;TEXT(ROW()-5,"00000"))</x:f>
        <x:v>ATT-00008</x:v>
      </x:c>
      <x:c r="C13" s="37" t="str">
        <x:v>CLS-260119-0003</x:v>
      </x:c>
      <x:c r="D13" s="74" t="n">
        <x:f>IFERROR(INDEX('03_CLASS_SCHEDULE'!$C$6:$C$105,MATCH(C13,'03_CLASS_SCHEDULE'!$B$6:$B$105,0)),"")</x:f>
        <x:v>46041</x:v>
      </x:c>
      <x:c r="E13" s="37" t="str">
        <x:v>MBR-0003</x:v>
      </x:c>
      <x:c r="F13" s="63" t="str">
        <x:f>IFERROR(INDEX('02_MEMBERS'!$C$6:$C$105,MATCH(E13,'02_MEMBERS'!$B$6:$B$105,0)),"")</x:f>
        <x:v>Prerana Shrestha</x:v>
      </x:c>
      <x:c r="G13" s="63" t="str">
        <x:f>IFERROR(INDEX('03_CLASS_SCHEDULE'!$F$6:$F$105,MATCH(C13,'03_CLASS_SCHEDULE'!$B$6:$B$105,0)),"")</x:f>
        <x:v>Main Studio</x:v>
      </x:c>
      <x:c r="H13" s="63" t="str">
        <x:f>IFERROR(INDEX('03_CLASS_SCHEDULE'!$H$6:$H$105,MATCH(C13,'03_CLASS_SCHEDULE'!$B$6:$B$105,0)),"")</x:f>
        <x:v>Mat Pilates</x:v>
      </x:c>
      <x:c r="I13" s="63" t="str">
        <x:f>IFERROR(INDEX('03_CLASS_SCHEDULE'!$K$6:$K$105,MATCH(C13,'03_CLASS_SCHEDULE'!$B$6:$B$105,0)),"")</x:f>
        <x:v>Maya Gurung</x:v>
      </x:c>
      <x:c r="J13" s="37" t="str">
        <x:v>Booked</x:v>
      </x:c>
      <x:c r="K13" s="37" t="str">
        <x:v>Attended</x:v>
      </x:c>
      <x:c r="L13" s="72" t="n">
        <x:v>0.2881944444444444</x:v>
      </x:c>
      <x:c r="M13" s="59" t="n">
        <x:f>IF(OR(K13="Attended",K13="Late"),1,0)</x:f>
        <x:v>1</x:v>
      </x:c>
      <x:c r="N13" s="37" t="n">
        <x:v>4</x:v>
      </x:c>
      <x:c r="O13" s="37" t="str">
        <x:v>Demo attendance</x:v>
      </x:c>
    </x:row>
    <x:row r="14">
      <x:c r="A14" s="37" t="str">
        <x:v>DEMO</x:v>
      </x:c>
      <x:c r="B14" s="59" t="str">
        <x:f>IF(OR(C14="",E14=""),"","ATT-"&amp;TEXT(ROW()-5,"00000"))</x:f>
        <x:v>ATT-00009</x:v>
      </x:c>
      <x:c r="C14" s="37" t="str">
        <x:v>CLS-260119-0003</x:v>
      </x:c>
      <x:c r="D14" s="74" t="n">
        <x:f>IFERROR(INDEX('03_CLASS_SCHEDULE'!$C$6:$C$105,MATCH(C14,'03_CLASS_SCHEDULE'!$B$6:$B$105,0)),"")</x:f>
        <x:v>46041</x:v>
      </x:c>
      <x:c r="E14" s="37" t="str">
        <x:v>MBR-0004</x:v>
      </x:c>
      <x:c r="F14" s="63" t="str">
        <x:f>IFERROR(INDEX('02_MEMBERS'!$C$6:$C$105,MATCH(E14,'02_MEMBERS'!$B$6:$B$105,0)),"")</x:f>
        <x:v>Nina Maharjan</x:v>
      </x:c>
      <x:c r="G14" s="63" t="str">
        <x:f>IFERROR(INDEX('03_CLASS_SCHEDULE'!$F$6:$F$105,MATCH(C14,'03_CLASS_SCHEDULE'!$B$6:$B$105,0)),"")</x:f>
        <x:v>Main Studio</x:v>
      </x:c>
      <x:c r="H14" s="63" t="str">
        <x:f>IFERROR(INDEX('03_CLASS_SCHEDULE'!$H$6:$H$105,MATCH(C14,'03_CLASS_SCHEDULE'!$B$6:$B$105,0)),"")</x:f>
        <x:v>Mat Pilates</x:v>
      </x:c>
      <x:c r="I14" s="63" t="str">
        <x:f>IFERROR(INDEX('03_CLASS_SCHEDULE'!$K$6:$K$105,MATCH(C14,'03_CLASS_SCHEDULE'!$B$6:$B$105,0)),"")</x:f>
        <x:v>Maya Gurung</x:v>
      </x:c>
      <x:c r="J14" s="37" t="str">
        <x:v>Booked</x:v>
      </x:c>
      <x:c r="K14" s="37" t="str">
        <x:v>Attended</x:v>
      </x:c>
      <x:c r="L14" s="72" t="n">
        <x:v>0.2881944444444444</x:v>
      </x:c>
      <x:c r="M14" s="59" t="n">
        <x:f>IF(OR(K14="Attended",K14="Late"),1,0)</x:f>
        <x:v>1</x:v>
      </x:c>
      <x:c r="N14" s="37" t="n">
        <x:v>5</x:v>
      </x:c>
      <x:c r="O14" s="37" t="str">
        <x:v>Demo attendance</x:v>
      </x:c>
    </x:row>
    <x:row r="15">
      <x:c r="A15" s="37" t="str">
        <x:v>DEMO</x:v>
      </x:c>
      <x:c r="B15" s="59" t="str">
        <x:f>IF(OR(C15="",E15=""),"","ATT-"&amp;TEXT(ROW()-5,"00000"))</x:f>
        <x:v>ATT-00010</x:v>
      </x:c>
      <x:c r="C15" s="37" t="str">
        <x:v>CLS-260119-0003</x:v>
      </x:c>
      <x:c r="D15" s="74" t="n">
        <x:f>IFERROR(INDEX('03_CLASS_SCHEDULE'!$C$6:$C$105,MATCH(C15,'03_CLASS_SCHEDULE'!$B$6:$B$105,0)),"")</x:f>
        <x:v>46041</x:v>
      </x:c>
      <x:c r="E15" s="37" t="str">
        <x:v>MBR-0005</x:v>
      </x:c>
      <x:c r="F15" s="63" t="str">
        <x:f>IFERROR(INDEX('02_MEMBERS'!$C$6:$C$105,MATCH(E15,'02_MEMBERS'!$B$6:$B$105,0)),"")</x:f>
        <x:v>Samira Rana</x:v>
      </x:c>
      <x:c r="G15" s="63" t="str">
        <x:f>IFERROR(INDEX('03_CLASS_SCHEDULE'!$F$6:$F$105,MATCH(C15,'03_CLASS_SCHEDULE'!$B$6:$B$105,0)),"")</x:f>
        <x:v>Main Studio</x:v>
      </x:c>
      <x:c r="H15" s="63" t="str">
        <x:f>IFERROR(INDEX('03_CLASS_SCHEDULE'!$H$6:$H$105,MATCH(C15,'03_CLASS_SCHEDULE'!$B$6:$B$105,0)),"")</x:f>
        <x:v>Mat Pilates</x:v>
      </x:c>
      <x:c r="I15" s="63" t="str">
        <x:f>IFERROR(INDEX('03_CLASS_SCHEDULE'!$K$6:$K$105,MATCH(C15,'03_CLASS_SCHEDULE'!$B$6:$B$105,0)),"")</x:f>
        <x:v>Maya Gurung</x:v>
      </x:c>
      <x:c r="J15" s="37" t="str">
        <x:v>Booked</x:v>
      </x:c>
      <x:c r="K15" s="37" t="str">
        <x:v>Attended</x:v>
      </x:c>
      <x:c r="L15" s="72" t="n">
        <x:v>0.2881944444444444</x:v>
      </x:c>
      <x:c r="M15" s="59" t="n">
        <x:f>IF(OR(K15="Attended",K15="Late"),1,0)</x:f>
        <x:v>1</x:v>
      </x:c>
      <x:c r="N15" s="37" t="n">
        <x:v>4</x:v>
      </x:c>
      <x:c r="O15" s="37" t="str">
        <x:v>Demo attendance</x:v>
      </x:c>
    </x:row>
    <x:row r="16">
      <x:c r="A16" s="37" t="str">
        <x:v>DEMO</x:v>
      </x:c>
      <x:c r="B16" s="59" t="str">
        <x:f>IF(OR(C16="",E16=""),"","ATT-"&amp;TEXT(ROW()-5,"00000"))</x:f>
        <x:v>ATT-00011</x:v>
      </x:c>
      <x:c r="C16" s="37" t="str">
        <x:v>CLS-260119-0003</x:v>
      </x:c>
      <x:c r="D16" s="74" t="n">
        <x:f>IFERROR(INDEX('03_CLASS_SCHEDULE'!$C$6:$C$105,MATCH(C16,'03_CLASS_SCHEDULE'!$B$6:$B$105,0)),"")</x:f>
        <x:v>46041</x:v>
      </x:c>
      <x:c r="E16" s="37" t="str">
        <x:v>MBR-0006</x:v>
      </x:c>
      <x:c r="F16" s="63" t="str">
        <x:f>IFERROR(INDEX('02_MEMBERS'!$C$6:$C$105,MATCH(E16,'02_MEMBERS'!$B$6:$B$105,0)),"")</x:f>
        <x:v>Isha Bista</x:v>
      </x:c>
      <x:c r="G16" s="63" t="str">
        <x:f>IFERROR(INDEX('03_CLASS_SCHEDULE'!$F$6:$F$105,MATCH(C16,'03_CLASS_SCHEDULE'!$B$6:$B$105,0)),"")</x:f>
        <x:v>Main Studio</x:v>
      </x:c>
      <x:c r="H16" s="63" t="str">
        <x:f>IFERROR(INDEX('03_CLASS_SCHEDULE'!$H$6:$H$105,MATCH(C16,'03_CLASS_SCHEDULE'!$B$6:$B$105,0)),"")</x:f>
        <x:v>Mat Pilates</x:v>
      </x:c>
      <x:c r="I16" s="63" t="str">
        <x:f>IFERROR(INDEX('03_CLASS_SCHEDULE'!$K$6:$K$105,MATCH(C16,'03_CLASS_SCHEDULE'!$B$6:$B$105,0)),"")</x:f>
        <x:v>Maya Gurung</x:v>
      </x:c>
      <x:c r="J16" s="37" t="str">
        <x:v>Booked</x:v>
      </x:c>
      <x:c r="K16" s="37" t="str">
        <x:v>Attended</x:v>
      </x:c>
      <x:c r="L16" s="72" t="n">
        <x:v>0.2881944444444444</x:v>
      </x:c>
      <x:c r="M16" s="59" t="n">
        <x:f>IF(OR(K16="Attended",K16="Late"),1,0)</x:f>
        <x:v>1</x:v>
      </x:c>
      <x:c r="N16" s="37" t="n">
        <x:v>5</x:v>
      </x:c>
      <x:c r="O16" s="37" t="str">
        <x:v>Demo attendance</x:v>
      </x:c>
    </x:row>
    <x:row r="17">
      <x:c r="A17" s="37" t="str">
        <x:v>DEMO</x:v>
      </x:c>
      <x:c r="B17" s="59" t="str">
        <x:f>IF(OR(C17="",E17=""),"","ATT-"&amp;TEXT(ROW()-5,"00000"))</x:f>
        <x:v>ATT-00012</x:v>
      </x:c>
      <x:c r="C17" s="37" t="str">
        <x:v>CLS-260119-0003</x:v>
      </x:c>
      <x:c r="D17" s="74" t="n">
        <x:f>IFERROR(INDEX('03_CLASS_SCHEDULE'!$C$6:$C$105,MATCH(C17,'03_CLASS_SCHEDULE'!$B$6:$B$105,0)),"")</x:f>
        <x:v>46041</x:v>
      </x:c>
      <x:c r="E17" s="37" t="str">
        <x:v>MBR-0007</x:v>
      </x:c>
      <x:c r="F17" s="63" t="str">
        <x:f>IFERROR(INDEX('02_MEMBERS'!$C$6:$C$105,MATCH(E17,'02_MEMBERS'!$B$6:$B$105,0)),"")</x:f>
        <x:v>Anu KC</x:v>
      </x:c>
      <x:c r="G17" s="63" t="str">
        <x:f>IFERROR(INDEX('03_CLASS_SCHEDULE'!$F$6:$F$105,MATCH(C17,'03_CLASS_SCHEDULE'!$B$6:$B$105,0)),"")</x:f>
        <x:v>Main Studio</x:v>
      </x:c>
      <x:c r="H17" s="63" t="str">
        <x:f>IFERROR(INDEX('03_CLASS_SCHEDULE'!$H$6:$H$105,MATCH(C17,'03_CLASS_SCHEDULE'!$B$6:$B$105,0)),"")</x:f>
        <x:v>Mat Pilates</x:v>
      </x:c>
      <x:c r="I17" s="63" t="str">
        <x:f>IFERROR(INDEX('03_CLASS_SCHEDULE'!$K$6:$K$105,MATCH(C17,'03_CLASS_SCHEDULE'!$B$6:$B$105,0)),"")</x:f>
        <x:v>Maya Gurung</x:v>
      </x:c>
      <x:c r="J17" s="37" t="str">
        <x:v>Booked</x:v>
      </x:c>
      <x:c r="K17" s="37" t="str">
        <x:v>Attended</x:v>
      </x:c>
      <x:c r="L17" s="72" t="n">
        <x:v>0.2881944444444444</x:v>
      </x:c>
      <x:c r="M17" s="59" t="n">
        <x:f>IF(OR(K17="Attended",K17="Late"),1,0)</x:f>
        <x:v>1</x:v>
      </x:c>
      <x:c r="N17" s="37" t="n">
        <x:v>4</x:v>
      </x:c>
      <x:c r="O17" s="37" t="str">
        <x:v>Demo attendance</x:v>
      </x:c>
    </x:row>
    <x:row r="18">
      <x:c r="A18" s="37" t="str">
        <x:v>DEMO</x:v>
      </x:c>
      <x:c r="B18" s="59" t="str">
        <x:f>IF(OR(C18="",E18=""),"","ATT-"&amp;TEXT(ROW()-5,"00000"))</x:f>
        <x:v>ATT-00013</x:v>
      </x:c>
      <x:c r="C18" s="37" t="str">
        <x:v>CLS-260126-0004</x:v>
      </x:c>
      <x:c r="D18" s="74" t="n">
        <x:f>IFERROR(INDEX('03_CLASS_SCHEDULE'!$C$6:$C$105,MATCH(C18,'03_CLASS_SCHEDULE'!$B$6:$B$105,0)),"")</x:f>
        <x:v>46048</x:v>
      </x:c>
      <x:c r="E18" s="37" t="str">
        <x:v>MBR-0004</x:v>
      </x:c>
      <x:c r="F18" s="63" t="str">
        <x:f>IFERROR(INDEX('02_MEMBERS'!$C$6:$C$105,MATCH(E18,'02_MEMBERS'!$B$6:$B$105,0)),"")</x:f>
        <x:v>Nina Maharjan</x:v>
      </x:c>
      <x:c r="G18" s="63" t="str">
        <x:f>IFERROR(INDEX('03_CLASS_SCHEDULE'!$F$6:$F$105,MATCH(C18,'03_CLASS_SCHEDULE'!$B$6:$B$105,0)),"")</x:f>
        <x:v>Main Studio</x:v>
      </x:c>
      <x:c r="H18" s="63" t="str">
        <x:f>IFERROR(INDEX('03_CLASS_SCHEDULE'!$H$6:$H$105,MATCH(C18,'03_CLASS_SCHEDULE'!$B$6:$B$105,0)),"")</x:f>
        <x:v>Reformer Beginner</x:v>
      </x:c>
      <x:c r="I18" s="63" t="str">
        <x:f>IFERROR(INDEX('03_CLASS_SCHEDULE'!$K$6:$K$105,MATCH(C18,'03_CLASS_SCHEDULE'!$B$6:$B$105,0)),"")</x:f>
        <x:v>Riya Thapa</x:v>
      </x:c>
      <x:c r="J18" s="37" t="str">
        <x:v>Booked</x:v>
      </x:c>
      <x:c r="K18" s="37" t="str">
        <x:v>Attended</x:v>
      </x:c>
      <x:c r="L18" s="72" t="n">
        <x:v>0.2881944444444444</x:v>
      </x:c>
      <x:c r="M18" s="59" t="n">
        <x:f>IF(OR(K18="Attended",K18="Late"),1,0)</x:f>
        <x:v>1</x:v>
      </x:c>
      <x:c r="N18" s="37" t="n">
        <x:v>4</x:v>
      </x:c>
      <x:c r="O18" s="37" t="str">
        <x:v>Demo attendance</x:v>
      </x:c>
    </x:row>
    <x:row r="19">
      <x:c r="A19" s="37" t="str">
        <x:v>DEMO</x:v>
      </x:c>
      <x:c r="B19" s="59" t="str">
        <x:f>IF(OR(C19="",E19=""),"","ATT-"&amp;TEXT(ROW()-5,"00000"))</x:f>
        <x:v>ATT-00014</x:v>
      </x:c>
      <x:c r="C19" s="37" t="str">
        <x:v>CLS-260126-0004</x:v>
      </x:c>
      <x:c r="D19" s="74" t="n">
        <x:f>IFERROR(INDEX('03_CLASS_SCHEDULE'!$C$6:$C$105,MATCH(C19,'03_CLASS_SCHEDULE'!$B$6:$B$105,0)),"")</x:f>
        <x:v>46048</x:v>
      </x:c>
      <x:c r="E19" s="37" t="str">
        <x:v>MBR-0005</x:v>
      </x:c>
      <x:c r="F19" s="63" t="str">
        <x:f>IFERROR(INDEX('02_MEMBERS'!$C$6:$C$105,MATCH(E19,'02_MEMBERS'!$B$6:$B$105,0)),"")</x:f>
        <x:v>Samira Rana</x:v>
      </x:c>
      <x:c r="G19" s="63" t="str">
        <x:f>IFERROR(INDEX('03_CLASS_SCHEDULE'!$F$6:$F$105,MATCH(C19,'03_CLASS_SCHEDULE'!$B$6:$B$105,0)),"")</x:f>
        <x:v>Main Studio</x:v>
      </x:c>
      <x:c r="H19" s="63" t="str">
        <x:f>IFERROR(INDEX('03_CLASS_SCHEDULE'!$H$6:$H$105,MATCH(C19,'03_CLASS_SCHEDULE'!$B$6:$B$105,0)),"")</x:f>
        <x:v>Reformer Beginner</x:v>
      </x:c>
      <x:c r="I19" s="63" t="str">
        <x:f>IFERROR(INDEX('03_CLASS_SCHEDULE'!$K$6:$K$105,MATCH(C19,'03_CLASS_SCHEDULE'!$B$6:$B$105,0)),"")</x:f>
        <x:v>Riya Thapa</x:v>
      </x:c>
      <x:c r="J19" s="37" t="str">
        <x:v>Booked</x:v>
      </x:c>
      <x:c r="K19" s="37" t="str">
        <x:v>Attended</x:v>
      </x:c>
      <x:c r="L19" s="72" t="n">
        <x:v>0.2881944444444444</x:v>
      </x:c>
      <x:c r="M19" s="59" t="n">
        <x:f>IF(OR(K19="Attended",K19="Late"),1,0)</x:f>
        <x:v>1</x:v>
      </x:c>
      <x:c r="N19" s="37" t="n">
        <x:v>5</x:v>
      </x:c>
      <x:c r="O19" s="37" t="str">
        <x:v>Demo attendance</x:v>
      </x:c>
    </x:row>
    <x:row r="20">
      <x:c r="A20" s="37" t="str">
        <x:v>DEMO</x:v>
      </x:c>
      <x:c r="B20" s="59" t="str">
        <x:f>IF(OR(C20="",E20=""),"","ATT-"&amp;TEXT(ROW()-5,"00000"))</x:f>
        <x:v>ATT-00015</x:v>
      </x:c>
      <x:c r="C20" s="37" t="str">
        <x:v>CLS-260126-0004</x:v>
      </x:c>
      <x:c r="D20" s="74" t="n">
        <x:f>IFERROR(INDEX('03_CLASS_SCHEDULE'!$C$6:$C$105,MATCH(C20,'03_CLASS_SCHEDULE'!$B$6:$B$105,0)),"")</x:f>
        <x:v>46048</x:v>
      </x:c>
      <x:c r="E20" s="37" t="str">
        <x:v>MBR-0006</x:v>
      </x:c>
      <x:c r="F20" s="63" t="str">
        <x:f>IFERROR(INDEX('02_MEMBERS'!$C$6:$C$105,MATCH(E20,'02_MEMBERS'!$B$6:$B$105,0)),"")</x:f>
        <x:v>Isha Bista</x:v>
      </x:c>
      <x:c r="G20" s="63" t="str">
        <x:f>IFERROR(INDEX('03_CLASS_SCHEDULE'!$F$6:$F$105,MATCH(C20,'03_CLASS_SCHEDULE'!$B$6:$B$105,0)),"")</x:f>
        <x:v>Main Studio</x:v>
      </x:c>
      <x:c r="H20" s="63" t="str">
        <x:f>IFERROR(INDEX('03_CLASS_SCHEDULE'!$H$6:$H$105,MATCH(C20,'03_CLASS_SCHEDULE'!$B$6:$B$105,0)),"")</x:f>
        <x:v>Reformer Beginner</x:v>
      </x:c>
      <x:c r="I20" s="63" t="str">
        <x:f>IFERROR(INDEX('03_CLASS_SCHEDULE'!$K$6:$K$105,MATCH(C20,'03_CLASS_SCHEDULE'!$B$6:$B$105,0)),"")</x:f>
        <x:v>Riya Thapa</x:v>
      </x:c>
      <x:c r="J20" s="37" t="str">
        <x:v>Booked</x:v>
      </x:c>
      <x:c r="K20" s="37" t="str">
        <x:v>Attended</x:v>
      </x:c>
      <x:c r="L20" s="72" t="n">
        <x:v>0.2881944444444444</x:v>
      </x:c>
      <x:c r="M20" s="59" t="n">
        <x:f>IF(OR(K20="Attended",K20="Late"),1,0)</x:f>
        <x:v>1</x:v>
      </x:c>
      <x:c r="N20" s="37" t="n">
        <x:v>4</x:v>
      </x:c>
      <x:c r="O20" s="37" t="str">
        <x:v>Demo attendance</x:v>
      </x:c>
    </x:row>
    <x:row r="21">
      <x:c r="A21" s="37" t="str">
        <x:v>DEMO</x:v>
      </x:c>
      <x:c r="B21" s="59" t="str">
        <x:f>IF(OR(C21="",E21=""),"","ATT-"&amp;TEXT(ROW()-5,"00000"))</x:f>
        <x:v>ATT-00016</x:v>
      </x:c>
      <x:c r="C21" s="37" t="str">
        <x:v>CLS-260126-0004</x:v>
      </x:c>
      <x:c r="D21" s="74" t="n">
        <x:f>IFERROR(INDEX('03_CLASS_SCHEDULE'!$C$6:$C$105,MATCH(C21,'03_CLASS_SCHEDULE'!$B$6:$B$105,0)),"")</x:f>
        <x:v>46048</x:v>
      </x:c>
      <x:c r="E21" s="37" t="str">
        <x:v>MBR-0007</x:v>
      </x:c>
      <x:c r="F21" s="63" t="str">
        <x:f>IFERROR(INDEX('02_MEMBERS'!$C$6:$C$105,MATCH(E21,'02_MEMBERS'!$B$6:$B$105,0)),"")</x:f>
        <x:v>Anu KC</x:v>
      </x:c>
      <x:c r="G21" s="63" t="str">
        <x:f>IFERROR(INDEX('03_CLASS_SCHEDULE'!$F$6:$F$105,MATCH(C21,'03_CLASS_SCHEDULE'!$B$6:$B$105,0)),"")</x:f>
        <x:v>Main Studio</x:v>
      </x:c>
      <x:c r="H21" s="63" t="str">
        <x:f>IFERROR(INDEX('03_CLASS_SCHEDULE'!$H$6:$H$105,MATCH(C21,'03_CLASS_SCHEDULE'!$B$6:$B$105,0)),"")</x:f>
        <x:v>Reformer Beginner</x:v>
      </x:c>
      <x:c r="I21" s="63" t="str">
        <x:f>IFERROR(INDEX('03_CLASS_SCHEDULE'!$K$6:$K$105,MATCH(C21,'03_CLASS_SCHEDULE'!$B$6:$B$105,0)),"")</x:f>
        <x:v>Riya Thapa</x:v>
      </x:c>
      <x:c r="J21" s="37" t="str">
        <x:v>Booked</x:v>
      </x:c>
      <x:c r="K21" s="37" t="str">
        <x:v>Attended</x:v>
      </x:c>
      <x:c r="L21" s="72" t="n">
        <x:v>0.2881944444444444</x:v>
      </x:c>
      <x:c r="M21" s="59" t="n">
        <x:f>IF(OR(K21="Attended",K21="Late"),1,0)</x:f>
        <x:v>1</x:v>
      </x:c>
      <x:c r="N21" s="37" t="n">
        <x:v>5</x:v>
      </x:c>
      <x:c r="O21" s="37" t="str">
        <x:v>Demo attendance</x:v>
      </x:c>
    </x:row>
    <x:row r="22">
      <x:c r="A22" s="37" t="str">
        <x:v>DEMO</x:v>
      </x:c>
      <x:c r="B22" s="59" t="str">
        <x:f>IF(OR(C22="",E22=""),"","ATT-"&amp;TEXT(ROW()-5,"00000"))</x:f>
        <x:v>ATT-00017</x:v>
      </x:c>
      <x:c r="C22" s="37" t="str">
        <x:v>CLS-260126-0004</x:v>
      </x:c>
      <x:c r="D22" s="74" t="n">
        <x:f>IFERROR(INDEX('03_CLASS_SCHEDULE'!$C$6:$C$105,MATCH(C22,'03_CLASS_SCHEDULE'!$B$6:$B$105,0)),"")</x:f>
        <x:v>46048</x:v>
      </x:c>
      <x:c r="E22" s="37" t="str">
        <x:v>MBR-0008</x:v>
      </x:c>
      <x:c r="F22" s="63" t="str">
        <x:f>IFERROR(INDEX('02_MEMBERS'!$C$6:$C$105,MATCH(E22,'02_MEMBERS'!$B$6:$B$105,0)),"")</x:f>
        <x:v>Roshni Lama</x:v>
      </x:c>
      <x:c r="G22" s="63" t="str">
        <x:f>IFERROR(INDEX('03_CLASS_SCHEDULE'!$F$6:$F$105,MATCH(C22,'03_CLASS_SCHEDULE'!$B$6:$B$105,0)),"")</x:f>
        <x:v>Main Studio</x:v>
      </x:c>
      <x:c r="H22" s="63" t="str">
        <x:f>IFERROR(INDEX('03_CLASS_SCHEDULE'!$H$6:$H$105,MATCH(C22,'03_CLASS_SCHEDULE'!$B$6:$B$105,0)),"")</x:f>
        <x:v>Reformer Beginner</x:v>
      </x:c>
      <x:c r="I22" s="63" t="str">
        <x:f>IFERROR(INDEX('03_CLASS_SCHEDULE'!$K$6:$K$105,MATCH(C22,'03_CLASS_SCHEDULE'!$B$6:$B$105,0)),"")</x:f>
        <x:v>Riya Thapa</x:v>
      </x:c>
      <x:c r="J22" s="37" t="str">
        <x:v>Booked</x:v>
      </x:c>
      <x:c r="K22" s="37" t="str">
        <x:v>Late</x:v>
      </x:c>
      <x:c r="L22" s="72" t="n">
        <x:v>0.2881944444444444</x:v>
      </x:c>
      <x:c r="M22" s="59" t="n">
        <x:f>IF(OR(K22="Attended",K22="Late"),1,0)</x:f>
        <x:v>1</x:v>
      </x:c>
      <x:c r="N22" s="37" t="n">
        <x:v>4</x:v>
      </x:c>
      <x:c r="O22" s="37" t="str">
        <x:v>Demo attendance</x:v>
      </x:c>
    </x:row>
    <x:row r="23">
      <x:c r="A23" s="37" t="str">
        <x:v>DEMO</x:v>
      </x:c>
      <x:c r="B23" s="59" t="str">
        <x:f>IF(OR(C23="",E23=""),"","ATT-"&amp;TEXT(ROW()-5,"00000"))</x:f>
        <x:v>ATT-00018</x:v>
      </x:c>
      <x:c r="C23" s="37" t="str">
        <x:v>CLS-260126-0004</x:v>
      </x:c>
      <x:c r="D23" s="74" t="n">
        <x:f>IFERROR(INDEX('03_CLASS_SCHEDULE'!$C$6:$C$105,MATCH(C23,'03_CLASS_SCHEDULE'!$B$6:$B$105,0)),"")</x:f>
        <x:v>46048</x:v>
      </x:c>
      <x:c r="E23" s="37" t="str">
        <x:v>MBR-0009</x:v>
      </x:c>
      <x:c r="F23" s="63" t="str">
        <x:f>IFERROR(INDEX('02_MEMBERS'!$C$6:$C$105,MATCH(E23,'02_MEMBERS'!$B$6:$B$105,0)),"")</x:f>
        <x:v>Kritika Poudel</x:v>
      </x:c>
      <x:c r="G23" s="63" t="str">
        <x:f>IFERROR(INDEX('03_CLASS_SCHEDULE'!$F$6:$F$105,MATCH(C23,'03_CLASS_SCHEDULE'!$B$6:$B$105,0)),"")</x:f>
        <x:v>Main Studio</x:v>
      </x:c>
      <x:c r="H23" s="63" t="str">
        <x:f>IFERROR(INDEX('03_CLASS_SCHEDULE'!$H$6:$H$105,MATCH(C23,'03_CLASS_SCHEDULE'!$B$6:$B$105,0)),"")</x:f>
        <x:v>Reformer Beginner</x:v>
      </x:c>
      <x:c r="I23" s="63" t="str">
        <x:f>IFERROR(INDEX('03_CLASS_SCHEDULE'!$K$6:$K$105,MATCH(C23,'03_CLASS_SCHEDULE'!$B$6:$B$105,0)),"")</x:f>
        <x:v>Riya Thapa</x:v>
      </x:c>
      <x:c r="J23" s="37" t="str">
        <x:v>Booked</x:v>
      </x:c>
      <x:c r="K23" s="37" t="str">
        <x:v>Attended</x:v>
      </x:c>
      <x:c r="L23" s="72" t="n">
        <x:v>0.2881944444444444</x:v>
      </x:c>
      <x:c r="M23" s="59" t="n">
        <x:f>IF(OR(K23="Attended",K23="Late"),1,0)</x:f>
        <x:v>1</x:v>
      </x:c>
      <x:c r="N23" s="37" t="n">
        <x:v>5</x:v>
      </x:c>
      <x:c r="O23" s="37" t="str">
        <x:v>Demo attendance</x:v>
      </x:c>
    </x:row>
    <x:row r="24">
      <x:c r="A24" s="37" t="str">
        <x:v>DEMO</x:v>
      </x:c>
      <x:c r="B24" s="59" t="str">
        <x:f>IF(OR(C24="",E24=""),"","ATT-"&amp;TEXT(ROW()-5,"00000"))</x:f>
        <x:v>ATT-00019</x:v>
      </x:c>
      <x:c r="C24" s="37" t="str">
        <x:v>CLS-260202-0005</x:v>
      </x:c>
      <x:c r="D24" s="74" t="n">
        <x:f>IFERROR(INDEX('03_CLASS_SCHEDULE'!$C$6:$C$105,MATCH(C24,'03_CLASS_SCHEDULE'!$B$6:$B$105,0)),"")</x:f>
        <x:v>46055</x:v>
      </x:c>
      <x:c r="E24" s="37" t="str">
        <x:v>MBR-0005</x:v>
      </x:c>
      <x:c r="F24" s="63" t="str">
        <x:f>IFERROR(INDEX('02_MEMBERS'!$C$6:$C$105,MATCH(E24,'02_MEMBERS'!$B$6:$B$105,0)),"")</x:f>
        <x:v>Samira Rana</x:v>
      </x:c>
      <x:c r="G24" s="63" t="str">
        <x:f>IFERROR(INDEX('03_CLASS_SCHEDULE'!$F$6:$F$105,MATCH(C24,'03_CLASS_SCHEDULE'!$B$6:$B$105,0)),"")</x:f>
        <x:v>Main Studio</x:v>
      </x:c>
      <x:c r="H24" s="63" t="str">
        <x:f>IFERROR(INDEX('03_CLASS_SCHEDULE'!$H$6:$H$105,MATCH(C24,'03_CLASS_SCHEDULE'!$B$6:$B$105,0)),"")</x:f>
        <x:v>Reformer Intermediate</x:v>
      </x:c>
      <x:c r="I24" s="63" t="str">
        <x:f>IFERROR(INDEX('03_CLASS_SCHEDULE'!$K$6:$K$105,MATCH(C24,'03_CLASS_SCHEDULE'!$B$6:$B$105,0)),"")</x:f>
        <x:v>Maya Gurung</x:v>
      </x:c>
      <x:c r="J24" s="37" t="str">
        <x:v>Booked</x:v>
      </x:c>
      <x:c r="K24" s="37" t="str">
        <x:v>Attended</x:v>
      </x:c>
      <x:c r="L24" s="72" t="n">
        <x:v>0.2881944444444444</x:v>
      </x:c>
      <x:c r="M24" s="59" t="n">
        <x:f>IF(OR(K24="Attended",K24="Late"),1,0)</x:f>
        <x:v>1</x:v>
      </x:c>
      <x:c r="N24" s="37" t="n">
        <x:v>4</x:v>
      </x:c>
      <x:c r="O24" s="37" t="str">
        <x:v>Demo attendance</x:v>
      </x:c>
    </x:row>
    <x:row r="25">
      <x:c r="A25" s="37" t="str">
        <x:v>DEMO</x:v>
      </x:c>
      <x:c r="B25" s="59" t="str">
        <x:f>IF(OR(C25="",E25=""),"","ATT-"&amp;TEXT(ROW()-5,"00000"))</x:f>
        <x:v>ATT-00020</x:v>
      </x:c>
      <x:c r="C25" s="37" t="str">
        <x:v>CLS-260202-0005</x:v>
      </x:c>
      <x:c r="D25" s="74" t="n">
        <x:f>IFERROR(INDEX('03_CLASS_SCHEDULE'!$C$6:$C$105,MATCH(C25,'03_CLASS_SCHEDULE'!$B$6:$B$105,0)),"")</x:f>
        <x:v>46055</x:v>
      </x:c>
      <x:c r="E25" s="37" t="str">
        <x:v>MBR-0006</x:v>
      </x:c>
      <x:c r="F25" s="63" t="str">
        <x:f>IFERROR(INDEX('02_MEMBERS'!$C$6:$C$105,MATCH(E25,'02_MEMBERS'!$B$6:$B$105,0)),"")</x:f>
        <x:v>Isha Bista</x:v>
      </x:c>
      <x:c r="G25" s="63" t="str">
        <x:f>IFERROR(INDEX('03_CLASS_SCHEDULE'!$F$6:$F$105,MATCH(C25,'03_CLASS_SCHEDULE'!$B$6:$B$105,0)),"")</x:f>
        <x:v>Main Studio</x:v>
      </x:c>
      <x:c r="H25" s="63" t="str">
        <x:f>IFERROR(INDEX('03_CLASS_SCHEDULE'!$H$6:$H$105,MATCH(C25,'03_CLASS_SCHEDULE'!$B$6:$B$105,0)),"")</x:f>
        <x:v>Reformer Intermediate</x:v>
      </x:c>
      <x:c r="I25" s="63" t="str">
        <x:f>IFERROR(INDEX('03_CLASS_SCHEDULE'!$K$6:$K$105,MATCH(C25,'03_CLASS_SCHEDULE'!$B$6:$B$105,0)),"")</x:f>
        <x:v>Maya Gurung</x:v>
      </x:c>
      <x:c r="J25" s="37" t="str">
        <x:v>Booked</x:v>
      </x:c>
      <x:c r="K25" s="37" t="str">
        <x:v>Attended</x:v>
      </x:c>
      <x:c r="L25" s="72" t="n">
        <x:v>0.2881944444444444</x:v>
      </x:c>
      <x:c r="M25" s="59" t="n">
        <x:f>IF(OR(K25="Attended",K25="Late"),1,0)</x:f>
        <x:v>1</x:v>
      </x:c>
      <x:c r="N25" s="37" t="n">
        <x:v>5</x:v>
      </x:c>
      <x:c r="O25" s="37" t="str">
        <x:v>Demo attendance</x:v>
      </x:c>
    </x:row>
    <x:row r="26">
      <x:c r="A26" s="37" t="str">
        <x:v>DEMO</x:v>
      </x:c>
      <x:c r="B26" s="59" t="str">
        <x:f>IF(OR(C26="",E26=""),"","ATT-"&amp;TEXT(ROW()-5,"00000"))</x:f>
        <x:v>ATT-00021</x:v>
      </x:c>
      <x:c r="C26" s="37" t="str">
        <x:v>CLS-260202-0005</x:v>
      </x:c>
      <x:c r="D26" s="74" t="n">
        <x:f>IFERROR(INDEX('03_CLASS_SCHEDULE'!$C$6:$C$105,MATCH(C26,'03_CLASS_SCHEDULE'!$B$6:$B$105,0)),"")</x:f>
        <x:v>46055</x:v>
      </x:c>
      <x:c r="E26" s="37" t="str">
        <x:v>MBR-0007</x:v>
      </x:c>
      <x:c r="F26" s="63" t="str">
        <x:f>IFERROR(INDEX('02_MEMBERS'!$C$6:$C$105,MATCH(E26,'02_MEMBERS'!$B$6:$B$105,0)),"")</x:f>
        <x:v>Anu KC</x:v>
      </x:c>
      <x:c r="G26" s="63" t="str">
        <x:f>IFERROR(INDEX('03_CLASS_SCHEDULE'!$F$6:$F$105,MATCH(C26,'03_CLASS_SCHEDULE'!$B$6:$B$105,0)),"")</x:f>
        <x:v>Main Studio</x:v>
      </x:c>
      <x:c r="H26" s="63" t="str">
        <x:f>IFERROR(INDEX('03_CLASS_SCHEDULE'!$H$6:$H$105,MATCH(C26,'03_CLASS_SCHEDULE'!$B$6:$B$105,0)),"")</x:f>
        <x:v>Reformer Intermediate</x:v>
      </x:c>
      <x:c r="I26" s="63" t="str">
        <x:f>IFERROR(INDEX('03_CLASS_SCHEDULE'!$K$6:$K$105,MATCH(C26,'03_CLASS_SCHEDULE'!$B$6:$B$105,0)),"")</x:f>
        <x:v>Maya Gurung</x:v>
      </x:c>
      <x:c r="J26" s="37" t="str">
        <x:v>Booked</x:v>
      </x:c>
      <x:c r="K26" s="37" t="str">
        <x:v>Attended</x:v>
      </x:c>
      <x:c r="L26" s="72" t="n">
        <x:v>0.2881944444444444</x:v>
      </x:c>
      <x:c r="M26" s="59" t="n">
        <x:f>IF(OR(K26="Attended",K26="Late"),1,0)</x:f>
        <x:v>1</x:v>
      </x:c>
      <x:c r="N26" s="37" t="n">
        <x:v>4</x:v>
      </x:c>
      <x:c r="O26" s="37" t="str">
        <x:v>Demo attendance</x:v>
      </x:c>
    </x:row>
    <x:row r="27">
      <x:c r="A27" s="37" t="str">
        <x:v>DEMO</x:v>
      </x:c>
      <x:c r="B27" s="59" t="str">
        <x:f>IF(OR(C27="",E27=""),"","ATT-"&amp;TEXT(ROW()-5,"00000"))</x:f>
        <x:v>ATT-00022</x:v>
      </x:c>
      <x:c r="C27" s="37" t="str">
        <x:v>CLS-260209-0006</x:v>
      </x:c>
      <x:c r="D27" s="74" t="n">
        <x:f>IFERROR(INDEX('03_CLASS_SCHEDULE'!$C$6:$C$105,MATCH(C27,'03_CLASS_SCHEDULE'!$B$6:$B$105,0)),"")</x:f>
        <x:v>46062</x:v>
      </x:c>
      <x:c r="E27" s="37" t="str">
        <x:v>MBR-0006</x:v>
      </x:c>
      <x:c r="F27" s="63" t="str">
        <x:f>IFERROR(INDEX('02_MEMBERS'!$C$6:$C$105,MATCH(E27,'02_MEMBERS'!$B$6:$B$105,0)),"")</x:f>
        <x:v>Isha Bista</x:v>
      </x:c>
      <x:c r="G27" s="63" t="str">
        <x:f>IFERROR(INDEX('03_CLASS_SCHEDULE'!$F$6:$F$105,MATCH(C27,'03_CLASS_SCHEDULE'!$B$6:$B$105,0)),"")</x:f>
        <x:v>Main Studio</x:v>
      </x:c>
      <x:c r="H27" s="63" t="str">
        <x:f>IFERROR(INDEX('03_CLASS_SCHEDULE'!$H$6:$H$105,MATCH(C27,'03_CLASS_SCHEDULE'!$B$6:$B$105,0)),"")</x:f>
        <x:v>Mat Pilates</x:v>
      </x:c>
      <x:c r="I27" s="63" t="str">
        <x:f>IFERROR(INDEX('03_CLASS_SCHEDULE'!$K$6:$K$105,MATCH(C27,'03_CLASS_SCHEDULE'!$B$6:$B$105,0)),"")</x:f>
        <x:v>Riya Thapa</x:v>
      </x:c>
      <x:c r="J27" s="37" t="str">
        <x:v>Booked</x:v>
      </x:c>
      <x:c r="K27" s="37" t="str">
        <x:v>Attended</x:v>
      </x:c>
      <x:c r="L27" s="72" t="n">
        <x:v>0.2881944444444444</x:v>
      </x:c>
      <x:c r="M27" s="59" t="n">
        <x:f>IF(OR(K27="Attended",K27="Late"),1,0)</x:f>
        <x:v>1</x:v>
      </x:c>
      <x:c r="N27" s="37" t="n">
        <x:v>4</x:v>
      </x:c>
      <x:c r="O27" s="37" t="str">
        <x:v>Demo attendance</x:v>
      </x:c>
    </x:row>
    <x:row r="28">
      <x:c r="A28" s="37" t="str">
        <x:v>DEMO</x:v>
      </x:c>
      <x:c r="B28" s="59" t="str">
        <x:f>IF(OR(C28="",E28=""),"","ATT-"&amp;TEXT(ROW()-5,"00000"))</x:f>
        <x:v>ATT-00023</x:v>
      </x:c>
      <x:c r="C28" s="37" t="str">
        <x:v>CLS-260209-0006</x:v>
      </x:c>
      <x:c r="D28" s="74" t="n">
        <x:f>IFERROR(INDEX('03_CLASS_SCHEDULE'!$C$6:$C$105,MATCH(C28,'03_CLASS_SCHEDULE'!$B$6:$B$105,0)),"")</x:f>
        <x:v>46062</x:v>
      </x:c>
      <x:c r="E28" s="37" t="str">
        <x:v>MBR-0007</x:v>
      </x:c>
      <x:c r="F28" s="63" t="str">
        <x:f>IFERROR(INDEX('02_MEMBERS'!$C$6:$C$105,MATCH(E28,'02_MEMBERS'!$B$6:$B$105,0)),"")</x:f>
        <x:v>Anu KC</x:v>
      </x:c>
      <x:c r="G28" s="63" t="str">
        <x:f>IFERROR(INDEX('03_CLASS_SCHEDULE'!$F$6:$F$105,MATCH(C28,'03_CLASS_SCHEDULE'!$B$6:$B$105,0)),"")</x:f>
        <x:v>Main Studio</x:v>
      </x:c>
      <x:c r="H28" s="63" t="str">
        <x:f>IFERROR(INDEX('03_CLASS_SCHEDULE'!$H$6:$H$105,MATCH(C28,'03_CLASS_SCHEDULE'!$B$6:$B$105,0)),"")</x:f>
        <x:v>Mat Pilates</x:v>
      </x:c>
      <x:c r="I28" s="63" t="str">
        <x:f>IFERROR(INDEX('03_CLASS_SCHEDULE'!$K$6:$K$105,MATCH(C28,'03_CLASS_SCHEDULE'!$B$6:$B$105,0)),"")</x:f>
        <x:v>Riya Thapa</x:v>
      </x:c>
      <x:c r="J28" s="37" t="str">
        <x:v>Booked</x:v>
      </x:c>
      <x:c r="K28" s="37" t="str">
        <x:v>Attended</x:v>
      </x:c>
      <x:c r="L28" s="72" t="n">
        <x:v>0.2881944444444444</x:v>
      </x:c>
      <x:c r="M28" s="59" t="n">
        <x:f>IF(OR(K28="Attended",K28="Late"),1,0)</x:f>
        <x:v>1</x:v>
      </x:c>
      <x:c r="N28" s="37" t="n">
        <x:v>5</x:v>
      </x:c>
      <x:c r="O28" s="37" t="str">
        <x:v>Demo attendance</x:v>
      </x:c>
    </x:row>
    <x:row r="29">
      <x:c r="A29" s="37" t="str">
        <x:v>DEMO</x:v>
      </x:c>
      <x:c r="B29" s="59" t="str">
        <x:f>IF(OR(C29="",E29=""),"","ATT-"&amp;TEXT(ROW()-5,"00000"))</x:f>
        <x:v>ATT-00024</x:v>
      </x:c>
      <x:c r="C29" s="37" t="str">
        <x:v>CLS-260209-0006</x:v>
      </x:c>
      <x:c r="D29" s="74" t="n">
        <x:f>IFERROR(INDEX('03_CLASS_SCHEDULE'!$C$6:$C$105,MATCH(C29,'03_CLASS_SCHEDULE'!$B$6:$B$105,0)),"")</x:f>
        <x:v>46062</x:v>
      </x:c>
      <x:c r="E29" s="37" t="str">
        <x:v>MBR-0008</x:v>
      </x:c>
      <x:c r="F29" s="63" t="str">
        <x:f>IFERROR(INDEX('02_MEMBERS'!$C$6:$C$105,MATCH(E29,'02_MEMBERS'!$B$6:$B$105,0)),"")</x:f>
        <x:v>Roshni Lama</x:v>
      </x:c>
      <x:c r="G29" s="63" t="str">
        <x:f>IFERROR(INDEX('03_CLASS_SCHEDULE'!$F$6:$F$105,MATCH(C29,'03_CLASS_SCHEDULE'!$B$6:$B$105,0)),"")</x:f>
        <x:v>Main Studio</x:v>
      </x:c>
      <x:c r="H29" s="63" t="str">
        <x:f>IFERROR(INDEX('03_CLASS_SCHEDULE'!$H$6:$H$105,MATCH(C29,'03_CLASS_SCHEDULE'!$B$6:$B$105,0)),"")</x:f>
        <x:v>Mat Pilates</x:v>
      </x:c>
      <x:c r="I29" s="63" t="str">
        <x:f>IFERROR(INDEX('03_CLASS_SCHEDULE'!$K$6:$K$105,MATCH(C29,'03_CLASS_SCHEDULE'!$B$6:$B$105,0)),"")</x:f>
        <x:v>Riya Thapa</x:v>
      </x:c>
      <x:c r="J29" s="37" t="str">
        <x:v>Booked</x:v>
      </x:c>
      <x:c r="K29" s="37" t="str">
        <x:v>Late</x:v>
      </x:c>
      <x:c r="L29" s="72" t="n">
        <x:v>0.2881944444444444</x:v>
      </x:c>
      <x:c r="M29" s="59" t="n">
        <x:f>IF(OR(K29="Attended",K29="Late"),1,0)</x:f>
        <x:v>1</x:v>
      </x:c>
      <x:c r="N29" s="37" t="n">
        <x:v>4</x:v>
      </x:c>
      <x:c r="O29" s="37" t="str">
        <x:v>Demo attendance</x:v>
      </x:c>
    </x:row>
    <x:row r="30">
      <x:c r="A30" s="37" t="str">
        <x:v>DEMO</x:v>
      </x:c>
      <x:c r="B30" s="59" t="str">
        <x:f>IF(OR(C30="",E30=""),"","ATT-"&amp;TEXT(ROW()-5,"00000"))</x:f>
        <x:v>ATT-00025</x:v>
      </x:c>
      <x:c r="C30" s="37" t="str">
        <x:v>CLS-260209-0006</x:v>
      </x:c>
      <x:c r="D30" s="74" t="n">
        <x:f>IFERROR(INDEX('03_CLASS_SCHEDULE'!$C$6:$C$105,MATCH(C30,'03_CLASS_SCHEDULE'!$B$6:$B$105,0)),"")</x:f>
        <x:v>46062</x:v>
      </x:c>
      <x:c r="E30" s="37" t="str">
        <x:v>MBR-0009</x:v>
      </x:c>
      <x:c r="F30" s="63" t="str">
        <x:f>IFERROR(INDEX('02_MEMBERS'!$C$6:$C$105,MATCH(E30,'02_MEMBERS'!$B$6:$B$105,0)),"")</x:f>
        <x:v>Kritika Poudel</x:v>
      </x:c>
      <x:c r="G30" s="63" t="str">
        <x:f>IFERROR(INDEX('03_CLASS_SCHEDULE'!$F$6:$F$105,MATCH(C30,'03_CLASS_SCHEDULE'!$B$6:$B$105,0)),"")</x:f>
        <x:v>Main Studio</x:v>
      </x:c>
      <x:c r="H30" s="63" t="str">
        <x:f>IFERROR(INDEX('03_CLASS_SCHEDULE'!$H$6:$H$105,MATCH(C30,'03_CLASS_SCHEDULE'!$B$6:$B$105,0)),"")</x:f>
        <x:v>Mat Pilates</x:v>
      </x:c>
      <x:c r="I30" s="63" t="str">
        <x:f>IFERROR(INDEX('03_CLASS_SCHEDULE'!$K$6:$K$105,MATCH(C30,'03_CLASS_SCHEDULE'!$B$6:$B$105,0)),"")</x:f>
        <x:v>Riya Thapa</x:v>
      </x:c>
      <x:c r="J30" s="37" t="str">
        <x:v>Booked</x:v>
      </x:c>
      <x:c r="K30" s="37" t="str">
        <x:v>Attended</x:v>
      </x:c>
      <x:c r="L30" s="72" t="n">
        <x:v>0.2881944444444444</x:v>
      </x:c>
      <x:c r="M30" s="59" t="n">
        <x:f>IF(OR(K30="Attended",K30="Late"),1,0)</x:f>
        <x:v>1</x:v>
      </x:c>
      <x:c r="N30" s="37" t="n">
        <x:v>5</x:v>
      </x:c>
      <x:c r="O30" s="37" t="str">
        <x:v>Demo attendance</x:v>
      </x:c>
    </x:row>
    <x:row r="31">
      <x:c r="A31" s="37" t="str">
        <x:v>DEMO</x:v>
      </x:c>
      <x:c r="B31" s="59" t="str">
        <x:f>IF(OR(C31="",E31=""),"","ATT-"&amp;TEXT(ROW()-5,"00000"))</x:f>
        <x:v>ATT-00026</x:v>
      </x:c>
      <x:c r="C31" s="37" t="str">
        <x:v>CLS-260216-0007</x:v>
      </x:c>
      <x:c r="D31" s="74" t="n">
        <x:f>IFERROR(INDEX('03_CLASS_SCHEDULE'!$C$6:$C$105,MATCH(C31,'03_CLASS_SCHEDULE'!$B$6:$B$105,0)),"")</x:f>
        <x:v>46069</x:v>
      </x:c>
      <x:c r="E31" s="37" t="str">
        <x:v>MBR-0007</x:v>
      </x:c>
      <x:c r="F31" s="63" t="str">
        <x:f>IFERROR(INDEX('02_MEMBERS'!$C$6:$C$105,MATCH(E31,'02_MEMBERS'!$B$6:$B$105,0)),"")</x:f>
        <x:v>Anu KC</x:v>
      </x:c>
      <x:c r="G31" s="63" t="str">
        <x:f>IFERROR(INDEX('03_CLASS_SCHEDULE'!$F$6:$F$105,MATCH(C31,'03_CLASS_SCHEDULE'!$B$6:$B$105,0)),"")</x:f>
        <x:v>Main Studio</x:v>
      </x:c>
      <x:c r="H31" s="63" t="str">
        <x:f>IFERROR(INDEX('03_CLASS_SCHEDULE'!$H$6:$H$105,MATCH(C31,'03_CLASS_SCHEDULE'!$B$6:$B$105,0)),"")</x:f>
        <x:v>Reformer Beginner</x:v>
      </x:c>
      <x:c r="I31" s="63" t="str">
        <x:f>IFERROR(INDEX('03_CLASS_SCHEDULE'!$K$6:$K$105,MATCH(C31,'03_CLASS_SCHEDULE'!$B$6:$B$105,0)),"")</x:f>
        <x:v>Maya Gurung</x:v>
      </x:c>
      <x:c r="J31" s="37" t="str">
        <x:v>Booked</x:v>
      </x:c>
      <x:c r="K31" s="37" t="str">
        <x:v>Attended</x:v>
      </x:c>
      <x:c r="L31" s="72" t="n">
        <x:v>0.2881944444444444</x:v>
      </x:c>
      <x:c r="M31" s="59" t="n">
        <x:f>IF(OR(K31="Attended",K31="Late"),1,0)</x:f>
        <x:v>1</x:v>
      </x:c>
      <x:c r="N31" s="37" t="n">
        <x:v>4</x:v>
      </x:c>
      <x:c r="O31" s="37" t="str">
        <x:v>Demo attendance</x:v>
      </x:c>
    </x:row>
    <x:row r="32">
      <x:c r="A32" s="37" t="str">
        <x:v>DEMO</x:v>
      </x:c>
      <x:c r="B32" s="59" t="str">
        <x:f>IF(OR(C32="",E32=""),"","ATT-"&amp;TEXT(ROW()-5,"00000"))</x:f>
        <x:v>ATT-00027</x:v>
      </x:c>
      <x:c r="C32" s="37" t="str">
        <x:v>CLS-260216-0007</x:v>
      </x:c>
      <x:c r="D32" s="74" t="n">
        <x:f>IFERROR(INDEX('03_CLASS_SCHEDULE'!$C$6:$C$105,MATCH(C32,'03_CLASS_SCHEDULE'!$B$6:$B$105,0)),"")</x:f>
        <x:v>46069</x:v>
      </x:c>
      <x:c r="E32" s="37" t="str">
        <x:v>MBR-0008</x:v>
      </x:c>
      <x:c r="F32" s="63" t="str">
        <x:f>IFERROR(INDEX('02_MEMBERS'!$C$6:$C$105,MATCH(E32,'02_MEMBERS'!$B$6:$B$105,0)),"")</x:f>
        <x:v>Roshni Lama</x:v>
      </x:c>
      <x:c r="G32" s="63" t="str">
        <x:f>IFERROR(INDEX('03_CLASS_SCHEDULE'!$F$6:$F$105,MATCH(C32,'03_CLASS_SCHEDULE'!$B$6:$B$105,0)),"")</x:f>
        <x:v>Main Studio</x:v>
      </x:c>
      <x:c r="H32" s="63" t="str">
        <x:f>IFERROR(INDEX('03_CLASS_SCHEDULE'!$H$6:$H$105,MATCH(C32,'03_CLASS_SCHEDULE'!$B$6:$B$105,0)),"")</x:f>
        <x:v>Reformer Beginner</x:v>
      </x:c>
      <x:c r="I32" s="63" t="str">
        <x:f>IFERROR(INDEX('03_CLASS_SCHEDULE'!$K$6:$K$105,MATCH(C32,'03_CLASS_SCHEDULE'!$B$6:$B$105,0)),"")</x:f>
        <x:v>Maya Gurung</x:v>
      </x:c>
      <x:c r="J32" s="37" t="str">
        <x:v>Booked</x:v>
      </x:c>
      <x:c r="K32" s="37" t="str">
        <x:v>Late</x:v>
      </x:c>
      <x:c r="L32" s="72" t="n">
        <x:v>0.2881944444444444</x:v>
      </x:c>
      <x:c r="M32" s="59" t="n">
        <x:f>IF(OR(K32="Attended",K32="Late"),1,0)</x:f>
        <x:v>1</x:v>
      </x:c>
      <x:c r="N32" s="37" t="n">
        <x:v>5</x:v>
      </x:c>
      <x:c r="O32" s="37" t="str">
        <x:v>Demo attendance</x:v>
      </x:c>
    </x:row>
    <x:row r="33">
      <x:c r="A33" s="37" t="str">
        <x:v>DEMO</x:v>
      </x:c>
      <x:c r="B33" s="59" t="str">
        <x:f>IF(OR(C33="",E33=""),"","ATT-"&amp;TEXT(ROW()-5,"00000"))</x:f>
        <x:v>ATT-00028</x:v>
      </x:c>
      <x:c r="C33" s="37" t="str">
        <x:v>CLS-260216-0007</x:v>
      </x:c>
      <x:c r="D33" s="74" t="n">
        <x:f>IFERROR(INDEX('03_CLASS_SCHEDULE'!$C$6:$C$105,MATCH(C33,'03_CLASS_SCHEDULE'!$B$6:$B$105,0)),"")</x:f>
        <x:v>46069</x:v>
      </x:c>
      <x:c r="E33" s="37" t="str">
        <x:v>MBR-0009</x:v>
      </x:c>
      <x:c r="F33" s="63" t="str">
        <x:f>IFERROR(INDEX('02_MEMBERS'!$C$6:$C$105,MATCH(E33,'02_MEMBERS'!$B$6:$B$105,0)),"")</x:f>
        <x:v>Kritika Poudel</x:v>
      </x:c>
      <x:c r="G33" s="63" t="str">
        <x:f>IFERROR(INDEX('03_CLASS_SCHEDULE'!$F$6:$F$105,MATCH(C33,'03_CLASS_SCHEDULE'!$B$6:$B$105,0)),"")</x:f>
        <x:v>Main Studio</x:v>
      </x:c>
      <x:c r="H33" s="63" t="str">
        <x:f>IFERROR(INDEX('03_CLASS_SCHEDULE'!$H$6:$H$105,MATCH(C33,'03_CLASS_SCHEDULE'!$B$6:$B$105,0)),"")</x:f>
        <x:v>Reformer Beginner</x:v>
      </x:c>
      <x:c r="I33" s="63" t="str">
        <x:f>IFERROR(INDEX('03_CLASS_SCHEDULE'!$K$6:$K$105,MATCH(C33,'03_CLASS_SCHEDULE'!$B$6:$B$105,0)),"")</x:f>
        <x:v>Maya Gurung</x:v>
      </x:c>
      <x:c r="J33" s="37" t="str">
        <x:v>Booked</x:v>
      </x:c>
      <x:c r="K33" s="37" t="str">
        <x:v>Attended</x:v>
      </x:c>
      <x:c r="L33" s="72" t="n">
        <x:v>0.2881944444444444</x:v>
      </x:c>
      <x:c r="M33" s="59" t="n">
        <x:f>IF(OR(K33="Attended",K33="Late"),1,0)</x:f>
        <x:v>1</x:v>
      </x:c>
      <x:c r="N33" s="37" t="n">
        <x:v>4</x:v>
      </x:c>
      <x:c r="O33" s="37" t="str">
        <x:v>Demo attendance</x:v>
      </x:c>
    </x:row>
    <x:row r="34">
      <x:c r="A34" s="37" t="str">
        <x:v>DEMO</x:v>
      </x:c>
      <x:c r="B34" s="59" t="str">
        <x:f>IF(OR(C34="",E34=""),"","ATT-"&amp;TEXT(ROW()-5,"00000"))</x:f>
        <x:v>ATT-00029</x:v>
      </x:c>
      <x:c r="C34" s="37" t="str">
        <x:v>CLS-260216-0007</x:v>
      </x:c>
      <x:c r="D34" s="74" t="n">
        <x:f>IFERROR(INDEX('03_CLASS_SCHEDULE'!$C$6:$C$105,MATCH(C34,'03_CLASS_SCHEDULE'!$B$6:$B$105,0)),"")</x:f>
        <x:v>46069</x:v>
      </x:c>
      <x:c r="E34" s="37" t="str">
        <x:v>MBR-0010</x:v>
      </x:c>
      <x:c r="F34" s="63" t="str">
        <x:f>IFERROR(INDEX('02_MEMBERS'!$C$6:$C$105,MATCH(E34,'02_MEMBERS'!$B$6:$B$105,0)),"")</x:f>
        <x:v>Neha Shahi</x:v>
      </x:c>
      <x:c r="G34" s="63" t="str">
        <x:f>IFERROR(INDEX('03_CLASS_SCHEDULE'!$F$6:$F$105,MATCH(C34,'03_CLASS_SCHEDULE'!$B$6:$B$105,0)),"")</x:f>
        <x:v>Main Studio</x:v>
      </x:c>
      <x:c r="H34" s="63" t="str">
        <x:f>IFERROR(INDEX('03_CLASS_SCHEDULE'!$H$6:$H$105,MATCH(C34,'03_CLASS_SCHEDULE'!$B$6:$B$105,0)),"")</x:f>
        <x:v>Reformer Beginner</x:v>
      </x:c>
      <x:c r="I34" s="63" t="str">
        <x:f>IFERROR(INDEX('03_CLASS_SCHEDULE'!$K$6:$K$105,MATCH(C34,'03_CLASS_SCHEDULE'!$B$6:$B$105,0)),"")</x:f>
        <x:v>Maya Gurung</x:v>
      </x:c>
      <x:c r="J34" s="37" t="str">
        <x:v>Booked</x:v>
      </x:c>
      <x:c r="K34" s="37" t="str">
        <x:v>Attended</x:v>
      </x:c>
      <x:c r="L34" s="72" t="n">
        <x:v>0.2881944444444444</x:v>
      </x:c>
      <x:c r="M34" s="59" t="n">
        <x:f>IF(OR(K34="Attended",K34="Late"),1,0)</x:f>
        <x:v>1</x:v>
      </x:c>
      <x:c r="N34" s="37" t="n">
        <x:v>5</x:v>
      </x:c>
      <x:c r="O34" s="37" t="str">
        <x:v>Demo attendance</x:v>
      </x:c>
    </x:row>
    <x:row r="35">
      <x:c r="A35" s="37" t="str">
        <x:v>DEMO</x:v>
      </x:c>
      <x:c r="B35" s="59" t="str">
        <x:f>IF(OR(C35="",E35=""),"","ATT-"&amp;TEXT(ROW()-5,"00000"))</x:f>
        <x:v>ATT-00030</x:v>
      </x:c>
      <x:c r="C35" s="37" t="str">
        <x:v>CLS-260216-0007</x:v>
      </x:c>
      <x:c r="D35" s="74" t="n">
        <x:f>IFERROR(INDEX('03_CLASS_SCHEDULE'!$C$6:$C$105,MATCH(C35,'03_CLASS_SCHEDULE'!$B$6:$B$105,0)),"")</x:f>
        <x:v>46069</x:v>
      </x:c>
      <x:c r="E35" s="37" t="str">
        <x:v>MBR-0011</x:v>
      </x:c>
      <x:c r="F35" s="63" t="str">
        <x:f>IFERROR(INDEX('02_MEMBERS'!$C$6:$C$105,MATCH(E35,'02_MEMBERS'!$B$6:$B$105,0)),"")</x:f>
        <x:v>Puja Tamang</x:v>
      </x:c>
      <x:c r="G35" s="63" t="str">
        <x:f>IFERROR(INDEX('03_CLASS_SCHEDULE'!$F$6:$F$105,MATCH(C35,'03_CLASS_SCHEDULE'!$B$6:$B$105,0)),"")</x:f>
        <x:v>Main Studio</x:v>
      </x:c>
      <x:c r="H35" s="63" t="str">
        <x:f>IFERROR(INDEX('03_CLASS_SCHEDULE'!$H$6:$H$105,MATCH(C35,'03_CLASS_SCHEDULE'!$B$6:$B$105,0)),"")</x:f>
        <x:v>Reformer Beginner</x:v>
      </x:c>
      <x:c r="I35" s="63" t="str">
        <x:f>IFERROR(INDEX('03_CLASS_SCHEDULE'!$K$6:$K$105,MATCH(C35,'03_CLASS_SCHEDULE'!$B$6:$B$105,0)),"")</x:f>
        <x:v>Maya Gurung</x:v>
      </x:c>
      <x:c r="J35" s="37" t="str">
        <x:v>Booked</x:v>
      </x:c>
      <x:c r="K35" s="37" t="str">
        <x:v>Attended</x:v>
      </x:c>
      <x:c r="L35" s="72" t="n">
        <x:v>0.2881944444444444</x:v>
      </x:c>
      <x:c r="M35" s="59" t="n">
        <x:f>IF(OR(K35="Attended",K35="Late"),1,0)</x:f>
        <x:v>1</x:v>
      </x:c>
      <x:c r="N35" s="37" t="n">
        <x:v>4</x:v>
      </x:c>
      <x:c r="O35" s="37" t="str">
        <x:v>Demo attendance</x:v>
      </x:c>
    </x:row>
    <x:row r="36">
      <x:c r="A36" s="37" t="str">
        <x:v>DEMO</x:v>
      </x:c>
      <x:c r="B36" s="59" t="str">
        <x:f>IF(OR(C36="",E36=""),"","ATT-"&amp;TEXT(ROW()-5,"00000"))</x:f>
        <x:v>ATT-00031</x:v>
      </x:c>
      <x:c r="C36" s="37" t="str">
        <x:v>CLS-260223-0008</x:v>
      </x:c>
      <x:c r="D36" s="74" t="n">
        <x:f>IFERROR(INDEX('03_CLASS_SCHEDULE'!$C$6:$C$105,MATCH(C36,'03_CLASS_SCHEDULE'!$B$6:$B$105,0)),"")</x:f>
        <x:v>46076</x:v>
      </x:c>
      <x:c r="E36" s="37" t="str">
        <x:v>MBR-0008</x:v>
      </x:c>
      <x:c r="F36" s="63" t="str">
        <x:f>IFERROR(INDEX('02_MEMBERS'!$C$6:$C$105,MATCH(E36,'02_MEMBERS'!$B$6:$B$105,0)),"")</x:f>
        <x:v>Roshni Lama</x:v>
      </x:c>
      <x:c r="G36" s="63" t="str">
        <x:f>IFERROR(INDEX('03_CLASS_SCHEDULE'!$F$6:$F$105,MATCH(C36,'03_CLASS_SCHEDULE'!$B$6:$B$105,0)),"")</x:f>
        <x:v>Main Studio</x:v>
      </x:c>
      <x:c r="H36" s="63" t="str">
        <x:f>IFERROR(INDEX('03_CLASS_SCHEDULE'!$H$6:$H$105,MATCH(C36,'03_CLASS_SCHEDULE'!$B$6:$B$105,0)),"")</x:f>
        <x:v>Reformer Intermediate</x:v>
      </x:c>
      <x:c r="I36" s="63" t="str">
        <x:f>IFERROR(INDEX('03_CLASS_SCHEDULE'!$K$6:$K$105,MATCH(C36,'03_CLASS_SCHEDULE'!$B$6:$B$105,0)),"")</x:f>
        <x:v>Riya Thapa</x:v>
      </x:c>
      <x:c r="J36" s="37" t="str">
        <x:v>Booked</x:v>
      </x:c>
      <x:c r="K36" s="37" t="str">
        <x:v>Late</x:v>
      </x:c>
      <x:c r="L36" s="72" t="n">
        <x:v>0.2881944444444444</x:v>
      </x:c>
      <x:c r="M36" s="59" t="n">
        <x:f>IF(OR(K36="Attended",K36="Late"),1,0)</x:f>
        <x:v>1</x:v>
      </x:c>
      <x:c r="N36" s="37" t="n">
        <x:v>4</x:v>
      </x:c>
      <x:c r="O36" s="37" t="str">
        <x:v>Demo attendance</x:v>
      </x:c>
    </x:row>
    <x:row r="37">
      <x:c r="A37" s="37" t="str">
        <x:v>DEMO</x:v>
      </x:c>
      <x:c r="B37" s="59" t="str">
        <x:f>IF(OR(C37="",E37=""),"","ATT-"&amp;TEXT(ROW()-5,"00000"))</x:f>
        <x:v>ATT-00032</x:v>
      </x:c>
      <x:c r="C37" s="37" t="str">
        <x:v>CLS-260223-0008</x:v>
      </x:c>
      <x:c r="D37" s="74" t="n">
        <x:f>IFERROR(INDEX('03_CLASS_SCHEDULE'!$C$6:$C$105,MATCH(C37,'03_CLASS_SCHEDULE'!$B$6:$B$105,0)),"")</x:f>
        <x:v>46076</x:v>
      </x:c>
      <x:c r="E37" s="37" t="str">
        <x:v>MBR-0009</x:v>
      </x:c>
      <x:c r="F37" s="63" t="str">
        <x:f>IFERROR(INDEX('02_MEMBERS'!$C$6:$C$105,MATCH(E37,'02_MEMBERS'!$B$6:$B$105,0)),"")</x:f>
        <x:v>Kritika Poudel</x:v>
      </x:c>
      <x:c r="G37" s="63" t="str">
        <x:f>IFERROR(INDEX('03_CLASS_SCHEDULE'!$F$6:$F$105,MATCH(C37,'03_CLASS_SCHEDULE'!$B$6:$B$105,0)),"")</x:f>
        <x:v>Main Studio</x:v>
      </x:c>
      <x:c r="H37" s="63" t="str">
        <x:f>IFERROR(INDEX('03_CLASS_SCHEDULE'!$H$6:$H$105,MATCH(C37,'03_CLASS_SCHEDULE'!$B$6:$B$105,0)),"")</x:f>
        <x:v>Reformer Intermediate</x:v>
      </x:c>
      <x:c r="I37" s="63" t="str">
        <x:f>IFERROR(INDEX('03_CLASS_SCHEDULE'!$K$6:$K$105,MATCH(C37,'03_CLASS_SCHEDULE'!$B$6:$B$105,0)),"")</x:f>
        <x:v>Riya Thapa</x:v>
      </x:c>
      <x:c r="J37" s="37" t="str">
        <x:v>Booked</x:v>
      </x:c>
      <x:c r="K37" s="37" t="str">
        <x:v>Attended</x:v>
      </x:c>
      <x:c r="L37" s="72" t="n">
        <x:v>0.2881944444444444</x:v>
      </x:c>
      <x:c r="M37" s="59" t="n">
        <x:f>IF(OR(K37="Attended",K37="Late"),1,0)</x:f>
        <x:v>1</x:v>
      </x:c>
      <x:c r="N37" s="37" t="n">
        <x:v>5</x:v>
      </x:c>
      <x:c r="O37" s="37" t="str">
        <x:v>Demo attendance</x:v>
      </x:c>
    </x:row>
    <x:row r="38">
      <x:c r="A38" s="37" t="str">
        <x:v>DEMO</x:v>
      </x:c>
      <x:c r="B38" s="59" t="str">
        <x:f>IF(OR(C38="",E38=""),"","ATT-"&amp;TEXT(ROW()-5,"00000"))</x:f>
        <x:v>ATT-00033</x:v>
      </x:c>
      <x:c r="C38" s="37" t="str">
        <x:v>CLS-260223-0008</x:v>
      </x:c>
      <x:c r="D38" s="74" t="n">
        <x:f>IFERROR(INDEX('03_CLASS_SCHEDULE'!$C$6:$C$105,MATCH(C38,'03_CLASS_SCHEDULE'!$B$6:$B$105,0)),"")</x:f>
        <x:v>46076</x:v>
      </x:c>
      <x:c r="E38" s="37" t="str">
        <x:v>MBR-0010</x:v>
      </x:c>
      <x:c r="F38" s="63" t="str">
        <x:f>IFERROR(INDEX('02_MEMBERS'!$C$6:$C$105,MATCH(E38,'02_MEMBERS'!$B$6:$B$105,0)),"")</x:f>
        <x:v>Neha Shahi</x:v>
      </x:c>
      <x:c r="G38" s="63" t="str">
        <x:f>IFERROR(INDEX('03_CLASS_SCHEDULE'!$F$6:$F$105,MATCH(C38,'03_CLASS_SCHEDULE'!$B$6:$B$105,0)),"")</x:f>
        <x:v>Main Studio</x:v>
      </x:c>
      <x:c r="H38" s="63" t="str">
        <x:f>IFERROR(INDEX('03_CLASS_SCHEDULE'!$H$6:$H$105,MATCH(C38,'03_CLASS_SCHEDULE'!$B$6:$B$105,0)),"")</x:f>
        <x:v>Reformer Intermediate</x:v>
      </x:c>
      <x:c r="I38" s="63" t="str">
        <x:f>IFERROR(INDEX('03_CLASS_SCHEDULE'!$K$6:$K$105,MATCH(C38,'03_CLASS_SCHEDULE'!$B$6:$B$105,0)),"")</x:f>
        <x:v>Riya Thapa</x:v>
      </x:c>
      <x:c r="J38" s="37" t="str">
        <x:v>Booked</x:v>
      </x:c>
      <x:c r="K38" s="37" t="str">
        <x:v>Attended</x:v>
      </x:c>
      <x:c r="L38" s="72" t="n">
        <x:v>0.2881944444444444</x:v>
      </x:c>
      <x:c r="M38" s="59" t="n">
        <x:f>IF(OR(K38="Attended",K38="Late"),1,0)</x:f>
        <x:v>1</x:v>
      </x:c>
      <x:c r="N38" s="37" t="n">
        <x:v>4</x:v>
      </x:c>
      <x:c r="O38" s="37" t="str">
        <x:v>Demo attendance</x:v>
      </x:c>
    </x:row>
    <x:row r="39">
      <x:c r="A39" s="37" t="str">
        <x:v>DEMO</x:v>
      </x:c>
      <x:c r="B39" s="59" t="str">
        <x:f>IF(OR(C39="",E39=""),"","ATT-"&amp;TEXT(ROW()-5,"00000"))</x:f>
        <x:v>ATT-00034</x:v>
      </x:c>
      <x:c r="C39" s="37" t="str">
        <x:v>CLS-260223-0008</x:v>
      </x:c>
      <x:c r="D39" s="74" t="n">
        <x:f>IFERROR(INDEX('03_CLASS_SCHEDULE'!$C$6:$C$105,MATCH(C39,'03_CLASS_SCHEDULE'!$B$6:$B$105,0)),"")</x:f>
        <x:v>46076</x:v>
      </x:c>
      <x:c r="E39" s="37" t="str">
        <x:v>MBR-0011</x:v>
      </x:c>
      <x:c r="F39" s="63" t="str">
        <x:f>IFERROR(INDEX('02_MEMBERS'!$C$6:$C$105,MATCH(E39,'02_MEMBERS'!$B$6:$B$105,0)),"")</x:f>
        <x:v>Puja Tamang</x:v>
      </x:c>
      <x:c r="G39" s="63" t="str">
        <x:f>IFERROR(INDEX('03_CLASS_SCHEDULE'!$F$6:$F$105,MATCH(C39,'03_CLASS_SCHEDULE'!$B$6:$B$105,0)),"")</x:f>
        <x:v>Main Studio</x:v>
      </x:c>
      <x:c r="H39" s="63" t="str">
        <x:f>IFERROR(INDEX('03_CLASS_SCHEDULE'!$H$6:$H$105,MATCH(C39,'03_CLASS_SCHEDULE'!$B$6:$B$105,0)),"")</x:f>
        <x:v>Reformer Intermediate</x:v>
      </x:c>
      <x:c r="I39" s="63" t="str">
        <x:f>IFERROR(INDEX('03_CLASS_SCHEDULE'!$K$6:$K$105,MATCH(C39,'03_CLASS_SCHEDULE'!$B$6:$B$105,0)),"")</x:f>
        <x:v>Riya Thapa</x:v>
      </x:c>
      <x:c r="J39" s="37" t="str">
        <x:v>Booked</x:v>
      </x:c>
      <x:c r="K39" s="37" t="str">
        <x:v>Attended</x:v>
      </x:c>
      <x:c r="L39" s="72" t="n">
        <x:v>0.2881944444444444</x:v>
      </x:c>
      <x:c r="M39" s="59" t="n">
        <x:f>IF(OR(K39="Attended",K39="Late"),1,0)</x:f>
        <x:v>1</x:v>
      </x:c>
      <x:c r="N39" s="37" t="n">
        <x:v>5</x:v>
      </x:c>
      <x:c r="O39" s="37" t="str">
        <x:v>Demo attendance</x:v>
      </x:c>
    </x:row>
    <x:row r="40">
      <x:c r="A40" s="37" t="str">
        <x:v>DEMO</x:v>
      </x:c>
      <x:c r="B40" s="59" t="str">
        <x:f>IF(OR(C40="",E40=""),"","ATT-"&amp;TEXT(ROW()-5,"00000"))</x:f>
        <x:v>ATT-00035</x:v>
      </x:c>
      <x:c r="C40" s="37" t="str">
        <x:v>CLS-260223-0008</x:v>
      </x:c>
      <x:c r="D40" s="74" t="n">
        <x:f>IFERROR(INDEX('03_CLASS_SCHEDULE'!$C$6:$C$105,MATCH(C40,'03_CLASS_SCHEDULE'!$B$6:$B$105,0)),"")</x:f>
        <x:v>46076</x:v>
      </x:c>
      <x:c r="E40" s="37" t="str">
        <x:v>MBR-0012</x:v>
      </x:c>
      <x:c r="F40" s="63" t="str">
        <x:f>IFERROR(INDEX('02_MEMBERS'!$C$6:$C$105,MATCH(E40,'02_MEMBERS'!$B$6:$B$105,0)),"")</x:f>
        <x:v>Sushma Adhikari</x:v>
      </x:c>
      <x:c r="G40" s="63" t="str">
        <x:f>IFERROR(INDEX('03_CLASS_SCHEDULE'!$F$6:$F$105,MATCH(C40,'03_CLASS_SCHEDULE'!$B$6:$B$105,0)),"")</x:f>
        <x:v>Main Studio</x:v>
      </x:c>
      <x:c r="H40" s="63" t="str">
        <x:f>IFERROR(INDEX('03_CLASS_SCHEDULE'!$H$6:$H$105,MATCH(C40,'03_CLASS_SCHEDULE'!$B$6:$B$105,0)),"")</x:f>
        <x:v>Reformer Intermediate</x:v>
      </x:c>
      <x:c r="I40" s="63" t="str">
        <x:f>IFERROR(INDEX('03_CLASS_SCHEDULE'!$K$6:$K$105,MATCH(C40,'03_CLASS_SCHEDULE'!$B$6:$B$105,0)),"")</x:f>
        <x:v>Riya Thapa</x:v>
      </x:c>
      <x:c r="J40" s="37" t="str">
        <x:v>Booked</x:v>
      </x:c>
      <x:c r="K40" s="37" t="str">
        <x:v>No-show</x:v>
      </x:c>
      <x:c r="L40" s="72" t="n">
        <x:v>0.2881944444444444</x:v>
      </x:c>
      <x:c r="M40" s="59" t="n">
        <x:f>IF(OR(K40="Attended",K40="Late"),1,0)</x:f>
        <x:v>0</x:v>
      </x:c>
      <x:c r="N40" s="37" t="n">
        <x:v>4</x:v>
      </x:c>
      <x:c r="O40" s="37" t="str">
        <x:v>Demo attendance</x:v>
      </x:c>
    </x:row>
    <x:row r="41">
      <x:c r="A41" s="37" t="str">
        <x:v>DEMO</x:v>
      </x:c>
      <x:c r="B41" s="59" t="str">
        <x:f>IF(OR(C41="",E41=""),"","ATT-"&amp;TEXT(ROW()-5,"00000"))</x:f>
        <x:v>ATT-00036</x:v>
      </x:c>
      <x:c r="C41" s="37" t="str">
        <x:v>CLS-260223-0008</x:v>
      </x:c>
      <x:c r="D41" s="74" t="n">
        <x:f>IFERROR(INDEX('03_CLASS_SCHEDULE'!$C$6:$C$105,MATCH(C41,'03_CLASS_SCHEDULE'!$B$6:$B$105,0)),"")</x:f>
        <x:v>46076</x:v>
      </x:c>
      <x:c r="E41" s="37" t="str">
        <x:v>MBR-0013</x:v>
      </x:c>
      <x:c r="F41" s="63" t="str">
        <x:f>IFERROR(INDEX('02_MEMBERS'!$C$6:$C$105,MATCH(E41,'02_MEMBERS'!$B$6:$B$105,0)),"")</x:f>
      </x:c>
      <x:c r="G41" s="63" t="str">
        <x:f>IFERROR(INDEX('03_CLASS_SCHEDULE'!$F$6:$F$105,MATCH(C41,'03_CLASS_SCHEDULE'!$B$6:$B$105,0)),"")</x:f>
        <x:v>Main Studio</x:v>
      </x:c>
      <x:c r="H41" s="63" t="str">
        <x:f>IFERROR(INDEX('03_CLASS_SCHEDULE'!$H$6:$H$105,MATCH(C41,'03_CLASS_SCHEDULE'!$B$6:$B$105,0)),"")</x:f>
        <x:v>Reformer Intermediate</x:v>
      </x:c>
      <x:c r="I41" s="63" t="str">
        <x:f>IFERROR(INDEX('03_CLASS_SCHEDULE'!$K$6:$K$105,MATCH(C41,'03_CLASS_SCHEDULE'!$B$6:$B$105,0)),"")</x:f>
        <x:v>Riya Thapa</x:v>
      </x:c>
      <x:c r="J41" s="37" t="str">
        <x:v>Booked</x:v>
      </x:c>
      <x:c r="K41" s="37" t="str">
        <x:v>Attended</x:v>
      </x:c>
      <x:c r="L41" s="72" t="n">
        <x:v>0.2881944444444444</x:v>
      </x:c>
      <x:c r="M41" s="59" t="n">
        <x:f>IF(OR(K41="Attended",K41="Late"),1,0)</x:f>
        <x:v>1</x:v>
      </x:c>
      <x:c r="N41" s="37" t="n">
        <x:v>5</x:v>
      </x:c>
      <x:c r="O41" s="37" t="str">
        <x:v>Demo attendance</x:v>
      </x:c>
    </x:row>
    <x:row r="42">
      <x:c r="A42" s="37" t="str">
        <x:v>DEMO</x:v>
      </x:c>
      <x:c r="B42" s="59" t="str">
        <x:f>IF(OR(C42="",E42=""),"","ATT-"&amp;TEXT(ROW()-5,"00000"))</x:f>
        <x:v>ATT-00037</x:v>
      </x:c>
      <x:c r="C42" s="37" t="str">
        <x:v>CLS-260302-0009</x:v>
      </x:c>
      <x:c r="D42" s="74" t="n">
        <x:f>IFERROR(INDEX('03_CLASS_SCHEDULE'!$C$6:$C$105,MATCH(C42,'03_CLASS_SCHEDULE'!$B$6:$B$105,0)),"")</x:f>
        <x:v>46083</x:v>
      </x:c>
      <x:c r="E42" s="37" t="str">
        <x:v>MBR-0001</x:v>
      </x:c>
      <x:c r="F42" s="63" t="str">
        <x:f>IFERROR(INDEX('02_MEMBERS'!$C$6:$C$105,MATCH(E42,'02_MEMBERS'!$B$6:$B$105,0)),"")</x:f>
        <x:v>Aarati Karki</x:v>
      </x:c>
      <x:c r="G42" s="63" t="str">
        <x:f>IFERROR(INDEX('03_CLASS_SCHEDULE'!$F$6:$F$105,MATCH(C42,'03_CLASS_SCHEDULE'!$B$6:$B$105,0)),"")</x:f>
        <x:v>Main Studio</x:v>
      </x:c>
      <x:c r="H42" s="63" t="str">
        <x:f>IFERROR(INDEX('03_CLASS_SCHEDULE'!$H$6:$H$105,MATCH(C42,'03_CLASS_SCHEDULE'!$B$6:$B$105,0)),"")</x:f>
        <x:v>Mat Pilates</x:v>
      </x:c>
      <x:c r="I42" s="63" t="str">
        <x:f>IFERROR(INDEX('03_CLASS_SCHEDULE'!$K$6:$K$105,MATCH(C42,'03_CLASS_SCHEDULE'!$B$6:$B$105,0)),"")</x:f>
        <x:v>Maya Gurung</x:v>
      </x:c>
      <x:c r="J42" s="37" t="str">
        <x:v>Booked</x:v>
      </x:c>
      <x:c r="K42" s="37" t="str">
        <x:v>Attended</x:v>
      </x:c>
      <x:c r="L42" s="72" t="n">
        <x:v>0.2881944444444444</x:v>
      </x:c>
      <x:c r="M42" s="59" t="n">
        <x:f>IF(OR(K42="Attended",K42="Late"),1,0)</x:f>
        <x:v>1</x:v>
      </x:c>
      <x:c r="N42" s="37" t="n">
        <x:v>4</x:v>
      </x:c>
      <x:c r="O42" s="37" t="str">
        <x:v>Demo attendance</x:v>
      </x:c>
    </x:row>
    <x:row r="43">
      <x:c r="A43" s="37" t="str">
        <x:v>DEMO</x:v>
      </x:c>
      <x:c r="B43" s="59" t="str">
        <x:f>IF(OR(C43="",E43=""),"","ATT-"&amp;TEXT(ROW()-5,"00000"))</x:f>
        <x:v>ATT-00038</x:v>
      </x:c>
      <x:c r="C43" s="37" t="str">
        <x:v>CLS-260302-0009</x:v>
      </x:c>
      <x:c r="D43" s="74" t="n">
        <x:f>IFERROR(INDEX('03_CLASS_SCHEDULE'!$C$6:$C$105,MATCH(C43,'03_CLASS_SCHEDULE'!$B$6:$B$105,0)),"")</x:f>
        <x:v>46083</x:v>
      </x:c>
      <x:c r="E43" s="37" t="str">
        <x:v>MBR-0002</x:v>
      </x:c>
      <x:c r="F43" s="63" t="str">
        <x:f>IFERROR(INDEX('02_MEMBERS'!$C$6:$C$105,MATCH(E43,'02_MEMBERS'!$B$6:$B$105,0)),"")</x:f>
        <x:v>Sneha Joshi</x:v>
      </x:c>
      <x:c r="G43" s="63" t="str">
        <x:f>IFERROR(INDEX('03_CLASS_SCHEDULE'!$F$6:$F$105,MATCH(C43,'03_CLASS_SCHEDULE'!$B$6:$B$105,0)),"")</x:f>
        <x:v>Main Studio</x:v>
      </x:c>
      <x:c r="H43" s="63" t="str">
        <x:f>IFERROR(INDEX('03_CLASS_SCHEDULE'!$H$6:$H$105,MATCH(C43,'03_CLASS_SCHEDULE'!$B$6:$B$105,0)),"")</x:f>
        <x:v>Mat Pilates</x:v>
      </x:c>
      <x:c r="I43" s="63" t="str">
        <x:f>IFERROR(INDEX('03_CLASS_SCHEDULE'!$K$6:$K$105,MATCH(C43,'03_CLASS_SCHEDULE'!$B$6:$B$105,0)),"")</x:f>
        <x:v>Maya Gurung</x:v>
      </x:c>
      <x:c r="J43" s="37" t="str">
        <x:v>Booked</x:v>
      </x:c>
      <x:c r="K43" s="37" t="str">
        <x:v>Attended</x:v>
      </x:c>
      <x:c r="L43" s="72" t="n">
        <x:v>0.2881944444444444</x:v>
      </x:c>
      <x:c r="M43" s="59" t="n">
        <x:f>IF(OR(K43="Attended",K43="Late"),1,0)</x:f>
        <x:v>1</x:v>
      </x:c>
      <x:c r="N43" s="37" t="n">
        <x:v>5</x:v>
      </x:c>
      <x:c r="O43" s="37" t="str">
        <x:v>Demo attendance</x:v>
      </x:c>
    </x:row>
    <x:row r="44">
      <x:c r="A44" s="37" t="str">
        <x:v>DEMO</x:v>
      </x:c>
      <x:c r="B44" s="59" t="str">
        <x:f>IF(OR(C44="",E44=""),"","ATT-"&amp;TEXT(ROW()-5,"00000"))</x:f>
        <x:v>ATT-00039</x:v>
      </x:c>
      <x:c r="C44" s="37" t="str">
        <x:v>CLS-260302-0009</x:v>
      </x:c>
      <x:c r="D44" s="74" t="n">
        <x:f>IFERROR(INDEX('03_CLASS_SCHEDULE'!$C$6:$C$105,MATCH(C44,'03_CLASS_SCHEDULE'!$B$6:$B$105,0)),"")</x:f>
        <x:v>46083</x:v>
      </x:c>
      <x:c r="E44" s="37" t="str">
        <x:v>MBR-0003</x:v>
      </x:c>
      <x:c r="F44" s="63" t="str">
        <x:f>IFERROR(INDEX('02_MEMBERS'!$C$6:$C$105,MATCH(E44,'02_MEMBERS'!$B$6:$B$105,0)),"")</x:f>
        <x:v>Prerana Shrestha</x:v>
      </x:c>
      <x:c r="G44" s="63" t="str">
        <x:f>IFERROR(INDEX('03_CLASS_SCHEDULE'!$F$6:$F$105,MATCH(C44,'03_CLASS_SCHEDULE'!$B$6:$B$105,0)),"")</x:f>
        <x:v>Main Studio</x:v>
      </x:c>
      <x:c r="H44" s="63" t="str">
        <x:f>IFERROR(INDEX('03_CLASS_SCHEDULE'!$H$6:$H$105,MATCH(C44,'03_CLASS_SCHEDULE'!$B$6:$B$105,0)),"")</x:f>
        <x:v>Mat Pilates</x:v>
      </x:c>
      <x:c r="I44" s="63" t="str">
        <x:f>IFERROR(INDEX('03_CLASS_SCHEDULE'!$K$6:$K$105,MATCH(C44,'03_CLASS_SCHEDULE'!$B$6:$B$105,0)),"")</x:f>
        <x:v>Maya Gurung</x:v>
      </x:c>
      <x:c r="J44" s="37" t="str">
        <x:v>Booked</x:v>
      </x:c>
      <x:c r="K44" s="37" t="str">
        <x:v>Attended</x:v>
      </x:c>
      <x:c r="L44" s="72" t="n">
        <x:v>0.2881944444444444</x:v>
      </x:c>
      <x:c r="M44" s="59" t="n">
        <x:f>IF(OR(K44="Attended",K44="Late"),1,0)</x:f>
        <x:v>1</x:v>
      </x:c>
      <x:c r="N44" s="37" t="n">
        <x:v>4</x:v>
      </x:c>
      <x:c r="O44" s="37" t="str">
        <x:v>Demo attendance</x:v>
      </x:c>
    </x:row>
    <x:row r="45">
      <x:c r="A45" s="37" t="str">
        <x:v>DEMO</x:v>
      </x:c>
      <x:c r="B45" s="59" t="str">
        <x:f>IF(OR(C45="",E45=""),"","ATT-"&amp;TEXT(ROW()-5,"00000"))</x:f>
        <x:v>ATT-00040</x:v>
      </x:c>
      <x:c r="C45" s="37" t="str">
        <x:v>CLS-260309-0010</x:v>
      </x:c>
      <x:c r="D45" s="74" t="n">
        <x:f>IFERROR(INDEX('03_CLASS_SCHEDULE'!$C$6:$C$105,MATCH(C45,'03_CLASS_SCHEDULE'!$B$6:$B$105,0)),"")</x:f>
        <x:v>46090</x:v>
      </x:c>
      <x:c r="E45" s="37" t="str">
        <x:v>MBR-0002</x:v>
      </x:c>
      <x:c r="F45" s="63" t="str">
        <x:f>IFERROR(INDEX('02_MEMBERS'!$C$6:$C$105,MATCH(E45,'02_MEMBERS'!$B$6:$B$105,0)),"")</x:f>
        <x:v>Sneha Joshi</x:v>
      </x:c>
      <x:c r="G45" s="63" t="str">
        <x:f>IFERROR(INDEX('03_CLASS_SCHEDULE'!$F$6:$F$105,MATCH(C45,'03_CLASS_SCHEDULE'!$B$6:$B$105,0)),"")</x:f>
        <x:v>Main Studio</x:v>
      </x:c>
      <x:c r="H45" s="63" t="str">
        <x:f>IFERROR(INDEX('03_CLASS_SCHEDULE'!$H$6:$H$105,MATCH(C45,'03_CLASS_SCHEDULE'!$B$6:$B$105,0)),"")</x:f>
        <x:v>Reformer Beginner</x:v>
      </x:c>
      <x:c r="I45" s="63" t="str">
        <x:f>IFERROR(INDEX('03_CLASS_SCHEDULE'!$K$6:$K$105,MATCH(C45,'03_CLASS_SCHEDULE'!$B$6:$B$105,0)),"")</x:f>
        <x:v>Riya Thapa</x:v>
      </x:c>
      <x:c r="J45" s="37" t="str">
        <x:v>Booked</x:v>
      </x:c>
      <x:c r="K45" s="37" t="str">
        <x:v>Attended</x:v>
      </x:c>
      <x:c r="L45" s="72" t="n">
        <x:v>0.2881944444444444</x:v>
      </x:c>
      <x:c r="M45" s="59" t="n">
        <x:f>IF(OR(K45="Attended",K45="Late"),1,0)</x:f>
        <x:v>1</x:v>
      </x:c>
      <x:c r="N45" s="37" t="n">
        <x:v>4</x:v>
      </x:c>
      <x:c r="O45" s="37" t="str">
        <x:v>Demo attendance</x:v>
      </x:c>
    </x:row>
    <x:row r="46">
      <x:c r="A46" s="37" t="str">
        <x:v>DEMO</x:v>
      </x:c>
      <x:c r="B46" s="59" t="str">
        <x:f>IF(OR(C46="",E46=""),"","ATT-"&amp;TEXT(ROW()-5,"00000"))</x:f>
        <x:v>ATT-00041</x:v>
      </x:c>
      <x:c r="C46" s="37" t="str">
        <x:v>CLS-260309-0010</x:v>
      </x:c>
      <x:c r="D46" s="74" t="n">
        <x:f>IFERROR(INDEX('03_CLASS_SCHEDULE'!$C$6:$C$105,MATCH(C46,'03_CLASS_SCHEDULE'!$B$6:$B$105,0)),"")</x:f>
        <x:v>46090</x:v>
      </x:c>
      <x:c r="E46" s="37" t="str">
        <x:v>MBR-0003</x:v>
      </x:c>
      <x:c r="F46" s="63" t="str">
        <x:f>IFERROR(INDEX('02_MEMBERS'!$C$6:$C$105,MATCH(E46,'02_MEMBERS'!$B$6:$B$105,0)),"")</x:f>
        <x:v>Prerana Shrestha</x:v>
      </x:c>
      <x:c r="G46" s="63" t="str">
        <x:f>IFERROR(INDEX('03_CLASS_SCHEDULE'!$F$6:$F$105,MATCH(C46,'03_CLASS_SCHEDULE'!$B$6:$B$105,0)),"")</x:f>
        <x:v>Main Studio</x:v>
      </x:c>
      <x:c r="H46" s="63" t="str">
        <x:f>IFERROR(INDEX('03_CLASS_SCHEDULE'!$H$6:$H$105,MATCH(C46,'03_CLASS_SCHEDULE'!$B$6:$B$105,0)),"")</x:f>
        <x:v>Reformer Beginner</x:v>
      </x:c>
      <x:c r="I46" s="63" t="str">
        <x:f>IFERROR(INDEX('03_CLASS_SCHEDULE'!$K$6:$K$105,MATCH(C46,'03_CLASS_SCHEDULE'!$B$6:$B$105,0)),"")</x:f>
        <x:v>Riya Thapa</x:v>
      </x:c>
      <x:c r="J46" s="37" t="str">
        <x:v>Booked</x:v>
      </x:c>
      <x:c r="K46" s="37" t="str">
        <x:v>Attended</x:v>
      </x:c>
      <x:c r="L46" s="72" t="n">
        <x:v>0.2881944444444444</x:v>
      </x:c>
      <x:c r="M46" s="59" t="n">
        <x:f>IF(OR(K46="Attended",K46="Late"),1,0)</x:f>
        <x:v>1</x:v>
      </x:c>
      <x:c r="N46" s="37" t="n">
        <x:v>5</x:v>
      </x:c>
      <x:c r="O46" s="37" t="str">
        <x:v>Demo attendance</x:v>
      </x:c>
    </x:row>
    <x:row r="47">
      <x:c r="A47" s="37" t="str">
        <x:v>DEMO</x:v>
      </x:c>
      <x:c r="B47" s="59" t="str">
        <x:f>IF(OR(C47="",E47=""),"","ATT-"&amp;TEXT(ROW()-5,"00000"))</x:f>
        <x:v>ATT-00042</x:v>
      </x:c>
      <x:c r="C47" s="37" t="str">
        <x:v>CLS-260309-0010</x:v>
      </x:c>
      <x:c r="D47" s="74" t="n">
        <x:f>IFERROR(INDEX('03_CLASS_SCHEDULE'!$C$6:$C$105,MATCH(C47,'03_CLASS_SCHEDULE'!$B$6:$B$105,0)),"")</x:f>
        <x:v>46090</x:v>
      </x:c>
      <x:c r="E47" s="37" t="str">
        <x:v>MBR-0004</x:v>
      </x:c>
      <x:c r="F47" s="63" t="str">
        <x:f>IFERROR(INDEX('02_MEMBERS'!$C$6:$C$105,MATCH(E47,'02_MEMBERS'!$B$6:$B$105,0)),"")</x:f>
        <x:v>Nina Maharjan</x:v>
      </x:c>
      <x:c r="G47" s="63" t="str">
        <x:f>IFERROR(INDEX('03_CLASS_SCHEDULE'!$F$6:$F$105,MATCH(C47,'03_CLASS_SCHEDULE'!$B$6:$B$105,0)),"")</x:f>
        <x:v>Main Studio</x:v>
      </x:c>
      <x:c r="H47" s="63" t="str">
        <x:f>IFERROR(INDEX('03_CLASS_SCHEDULE'!$H$6:$H$105,MATCH(C47,'03_CLASS_SCHEDULE'!$B$6:$B$105,0)),"")</x:f>
        <x:v>Reformer Beginner</x:v>
      </x:c>
      <x:c r="I47" s="63" t="str">
        <x:f>IFERROR(INDEX('03_CLASS_SCHEDULE'!$K$6:$K$105,MATCH(C47,'03_CLASS_SCHEDULE'!$B$6:$B$105,0)),"")</x:f>
        <x:v>Riya Thapa</x:v>
      </x:c>
      <x:c r="J47" s="37" t="str">
        <x:v>Booked</x:v>
      </x:c>
      <x:c r="K47" s="37" t="str">
        <x:v>No-show</x:v>
      </x:c>
      <x:c r="L47" s="72" t="n">
        <x:v>0.2881944444444444</x:v>
      </x:c>
      <x:c r="M47" s="59" t="n">
        <x:f>IF(OR(K47="Attended",K47="Late"),1,0)</x:f>
        <x:v>0</x:v>
      </x:c>
      <x:c r="N47" s="37" t="n">
        <x:v>4</x:v>
      </x:c>
      <x:c r="O47" s="37" t="str">
        <x:v>Demo attendance</x:v>
      </x:c>
    </x:row>
    <x:row r="48">
      <x:c r="A48" s="37" t="str">
        <x:v>DEMO</x:v>
      </x:c>
      <x:c r="B48" s="59" t="str">
        <x:f>IF(OR(C48="",E48=""),"","ATT-"&amp;TEXT(ROW()-5,"00000"))</x:f>
        <x:v>ATT-00043</x:v>
      </x:c>
      <x:c r="C48" s="37" t="str">
        <x:v>CLS-260309-0010</x:v>
      </x:c>
      <x:c r="D48" s="74" t="n">
        <x:f>IFERROR(INDEX('03_CLASS_SCHEDULE'!$C$6:$C$105,MATCH(C48,'03_CLASS_SCHEDULE'!$B$6:$B$105,0)),"")</x:f>
        <x:v>46090</x:v>
      </x:c>
      <x:c r="E48" s="37" t="str">
        <x:v>MBR-0005</x:v>
      </x:c>
      <x:c r="F48" s="63" t="str">
        <x:f>IFERROR(INDEX('02_MEMBERS'!$C$6:$C$105,MATCH(E48,'02_MEMBERS'!$B$6:$B$105,0)),"")</x:f>
        <x:v>Samira Rana</x:v>
      </x:c>
      <x:c r="G48" s="63" t="str">
        <x:f>IFERROR(INDEX('03_CLASS_SCHEDULE'!$F$6:$F$105,MATCH(C48,'03_CLASS_SCHEDULE'!$B$6:$B$105,0)),"")</x:f>
        <x:v>Main Studio</x:v>
      </x:c>
      <x:c r="H48" s="63" t="str">
        <x:f>IFERROR(INDEX('03_CLASS_SCHEDULE'!$H$6:$H$105,MATCH(C48,'03_CLASS_SCHEDULE'!$B$6:$B$105,0)),"")</x:f>
        <x:v>Reformer Beginner</x:v>
      </x:c>
      <x:c r="I48" s="63" t="str">
        <x:f>IFERROR(INDEX('03_CLASS_SCHEDULE'!$K$6:$K$105,MATCH(C48,'03_CLASS_SCHEDULE'!$B$6:$B$105,0)),"")</x:f>
        <x:v>Riya Thapa</x:v>
      </x:c>
      <x:c r="J48" s="37" t="str">
        <x:v>Booked</x:v>
      </x:c>
      <x:c r="K48" s="37" t="str">
        <x:v>Attended</x:v>
      </x:c>
      <x:c r="L48" s="72" t="n">
        <x:v>0.2881944444444444</x:v>
      </x:c>
      <x:c r="M48" s="59" t="n">
        <x:f>IF(OR(K48="Attended",K48="Late"),1,0)</x:f>
        <x:v>1</x:v>
      </x:c>
      <x:c r="N48" s="37" t="n">
        <x:v>5</x:v>
      </x:c>
      <x:c r="O48" s="37" t="str">
        <x:v>Demo attendance</x:v>
      </x:c>
    </x:row>
    <x:row r="49">
      <x:c r="A49" s="37" t="str">
        <x:v>DEMO</x:v>
      </x:c>
      <x:c r="B49" s="59" t="str">
        <x:f>IF(OR(C49="",E49=""),"","ATT-"&amp;TEXT(ROW()-5,"00000"))</x:f>
        <x:v>ATT-00044</x:v>
      </x:c>
      <x:c r="C49" s="37" t="str">
        <x:v>CLS-260316-0011</x:v>
      </x:c>
      <x:c r="D49" s="74" t="n">
        <x:f>IFERROR(INDEX('03_CLASS_SCHEDULE'!$C$6:$C$105,MATCH(C49,'03_CLASS_SCHEDULE'!$B$6:$B$105,0)),"")</x:f>
        <x:v>46097</x:v>
      </x:c>
      <x:c r="E49" s="37" t="str">
        <x:v>MBR-0003</x:v>
      </x:c>
      <x:c r="F49" s="63" t="str">
        <x:f>IFERROR(INDEX('02_MEMBERS'!$C$6:$C$105,MATCH(E49,'02_MEMBERS'!$B$6:$B$105,0)),"")</x:f>
        <x:v>Prerana Shrestha</x:v>
      </x:c>
      <x:c r="G49" s="63" t="str">
        <x:f>IFERROR(INDEX('03_CLASS_SCHEDULE'!$F$6:$F$105,MATCH(C49,'03_CLASS_SCHEDULE'!$B$6:$B$105,0)),"")</x:f>
        <x:v>Main Studio</x:v>
      </x:c>
      <x:c r="H49" s="63" t="str">
        <x:f>IFERROR(INDEX('03_CLASS_SCHEDULE'!$H$6:$H$105,MATCH(C49,'03_CLASS_SCHEDULE'!$B$6:$B$105,0)),"")</x:f>
        <x:v>Reformer Intermediate</x:v>
      </x:c>
      <x:c r="I49" s="63" t="str">
        <x:f>IFERROR(INDEX('03_CLASS_SCHEDULE'!$K$6:$K$105,MATCH(C49,'03_CLASS_SCHEDULE'!$B$6:$B$105,0)),"")</x:f>
        <x:v>Maya Gurung</x:v>
      </x:c>
      <x:c r="J49" s="37" t="str">
        <x:v>Booked</x:v>
      </x:c>
      <x:c r="K49" s="37" t="str">
        <x:v>Attended</x:v>
      </x:c>
      <x:c r="L49" s="72" t="n">
        <x:v>0.2881944444444444</x:v>
      </x:c>
      <x:c r="M49" s="59" t="n">
        <x:f>IF(OR(K49="Attended",K49="Late"),1,0)</x:f>
        <x:v>1</x:v>
      </x:c>
      <x:c r="N49" s="37" t="n">
        <x:v>4</x:v>
      </x:c>
      <x:c r="O49" s="37" t="str">
        <x:v>Demo attendance</x:v>
      </x:c>
    </x:row>
    <x:row r="50">
      <x:c r="A50" s="37" t="str">
        <x:v>DEMO</x:v>
      </x:c>
      <x:c r="B50" s="59" t="str">
        <x:f>IF(OR(C50="",E50=""),"","ATT-"&amp;TEXT(ROW()-5,"00000"))</x:f>
        <x:v>ATT-00045</x:v>
      </x:c>
      <x:c r="C50" s="37" t="str">
        <x:v>CLS-260316-0011</x:v>
      </x:c>
      <x:c r="D50" s="74" t="n">
        <x:f>IFERROR(INDEX('03_CLASS_SCHEDULE'!$C$6:$C$105,MATCH(C50,'03_CLASS_SCHEDULE'!$B$6:$B$105,0)),"")</x:f>
        <x:v>46097</x:v>
      </x:c>
      <x:c r="E50" s="37" t="str">
        <x:v>MBR-0004</x:v>
      </x:c>
      <x:c r="F50" s="63" t="str">
        <x:f>IFERROR(INDEX('02_MEMBERS'!$C$6:$C$105,MATCH(E50,'02_MEMBERS'!$B$6:$B$105,0)),"")</x:f>
        <x:v>Nina Maharjan</x:v>
      </x:c>
      <x:c r="G50" s="63" t="str">
        <x:f>IFERROR(INDEX('03_CLASS_SCHEDULE'!$F$6:$F$105,MATCH(C50,'03_CLASS_SCHEDULE'!$B$6:$B$105,0)),"")</x:f>
        <x:v>Main Studio</x:v>
      </x:c>
      <x:c r="H50" s="63" t="str">
        <x:f>IFERROR(INDEX('03_CLASS_SCHEDULE'!$H$6:$H$105,MATCH(C50,'03_CLASS_SCHEDULE'!$B$6:$B$105,0)),"")</x:f>
        <x:v>Reformer Intermediate</x:v>
      </x:c>
      <x:c r="I50" s="63" t="str">
        <x:f>IFERROR(INDEX('03_CLASS_SCHEDULE'!$K$6:$K$105,MATCH(C50,'03_CLASS_SCHEDULE'!$B$6:$B$105,0)),"")</x:f>
        <x:v>Maya Gurung</x:v>
      </x:c>
      <x:c r="J50" s="37" t="str">
        <x:v>Booked</x:v>
      </x:c>
      <x:c r="K50" s="37" t="str">
        <x:v>No-show</x:v>
      </x:c>
      <x:c r="L50" s="72" t="n">
        <x:v>0.2881944444444444</x:v>
      </x:c>
      <x:c r="M50" s="59" t="n">
        <x:f>IF(OR(K50="Attended",K50="Late"),1,0)</x:f>
        <x:v>0</x:v>
      </x:c>
      <x:c r="N50" s="37" t="n">
        <x:v>5</x:v>
      </x:c>
      <x:c r="O50" s="37" t="str">
        <x:v>Demo attendance</x:v>
      </x:c>
    </x:row>
    <x:row r="51">
      <x:c r="A51" s="37" t="str">
        <x:v>DEMO</x:v>
      </x:c>
      <x:c r="B51" s="59" t="str">
        <x:f>IF(OR(C51="",E51=""),"","ATT-"&amp;TEXT(ROW()-5,"00000"))</x:f>
        <x:v>ATT-00046</x:v>
      </x:c>
      <x:c r="C51" s="37" t="str">
        <x:v>CLS-260316-0011</x:v>
      </x:c>
      <x:c r="D51" s="74" t="n">
        <x:f>IFERROR(INDEX('03_CLASS_SCHEDULE'!$C$6:$C$105,MATCH(C51,'03_CLASS_SCHEDULE'!$B$6:$B$105,0)),"")</x:f>
        <x:v>46097</x:v>
      </x:c>
      <x:c r="E51" s="37" t="str">
        <x:v>MBR-0005</x:v>
      </x:c>
      <x:c r="F51" s="63" t="str">
        <x:f>IFERROR(INDEX('02_MEMBERS'!$C$6:$C$105,MATCH(E51,'02_MEMBERS'!$B$6:$B$105,0)),"")</x:f>
        <x:v>Samira Rana</x:v>
      </x:c>
      <x:c r="G51" s="63" t="str">
        <x:f>IFERROR(INDEX('03_CLASS_SCHEDULE'!$F$6:$F$105,MATCH(C51,'03_CLASS_SCHEDULE'!$B$6:$B$105,0)),"")</x:f>
        <x:v>Main Studio</x:v>
      </x:c>
      <x:c r="H51" s="63" t="str">
        <x:f>IFERROR(INDEX('03_CLASS_SCHEDULE'!$H$6:$H$105,MATCH(C51,'03_CLASS_SCHEDULE'!$B$6:$B$105,0)),"")</x:f>
        <x:v>Reformer Intermediate</x:v>
      </x:c>
      <x:c r="I51" s="63" t="str">
        <x:f>IFERROR(INDEX('03_CLASS_SCHEDULE'!$K$6:$K$105,MATCH(C51,'03_CLASS_SCHEDULE'!$B$6:$B$105,0)),"")</x:f>
        <x:v>Maya Gurung</x:v>
      </x:c>
      <x:c r="J51" s="37" t="str">
        <x:v>Booked</x:v>
      </x:c>
      <x:c r="K51" s="37" t="str">
        <x:v>Attended</x:v>
      </x:c>
      <x:c r="L51" s="72" t="n">
        <x:v>0.2881944444444444</x:v>
      </x:c>
      <x:c r="M51" s="59" t="n">
        <x:f>IF(OR(K51="Attended",K51="Late"),1,0)</x:f>
        <x:v>1</x:v>
      </x:c>
      <x:c r="N51" s="37" t="n">
        <x:v>4</x:v>
      </x:c>
      <x:c r="O51" s="37" t="str">
        <x:v>Demo attendance</x:v>
      </x:c>
    </x:row>
    <x:row r="52">
      <x:c r="A52" s="37" t="str">
        <x:v>DEMO</x:v>
      </x:c>
      <x:c r="B52" s="59" t="str">
        <x:f>IF(OR(C52="",E52=""),"","ATT-"&amp;TEXT(ROW()-5,"00000"))</x:f>
        <x:v>ATT-00047</x:v>
      </x:c>
      <x:c r="C52" s="37" t="str">
        <x:v>CLS-260316-0011</x:v>
      </x:c>
      <x:c r="D52" s="74" t="n">
        <x:f>IFERROR(INDEX('03_CLASS_SCHEDULE'!$C$6:$C$105,MATCH(C52,'03_CLASS_SCHEDULE'!$B$6:$B$105,0)),"")</x:f>
        <x:v>46097</x:v>
      </x:c>
      <x:c r="E52" s="37" t="str">
        <x:v>MBR-0006</x:v>
      </x:c>
      <x:c r="F52" s="63" t="str">
        <x:f>IFERROR(INDEX('02_MEMBERS'!$C$6:$C$105,MATCH(E52,'02_MEMBERS'!$B$6:$B$105,0)),"")</x:f>
        <x:v>Isha Bista</x:v>
      </x:c>
      <x:c r="G52" s="63" t="str">
        <x:f>IFERROR(INDEX('03_CLASS_SCHEDULE'!$F$6:$F$105,MATCH(C52,'03_CLASS_SCHEDULE'!$B$6:$B$105,0)),"")</x:f>
        <x:v>Main Studio</x:v>
      </x:c>
      <x:c r="H52" s="63" t="str">
        <x:f>IFERROR(INDEX('03_CLASS_SCHEDULE'!$H$6:$H$105,MATCH(C52,'03_CLASS_SCHEDULE'!$B$6:$B$105,0)),"")</x:f>
        <x:v>Reformer Intermediate</x:v>
      </x:c>
      <x:c r="I52" s="63" t="str">
        <x:f>IFERROR(INDEX('03_CLASS_SCHEDULE'!$K$6:$K$105,MATCH(C52,'03_CLASS_SCHEDULE'!$B$6:$B$105,0)),"")</x:f>
        <x:v>Maya Gurung</x:v>
      </x:c>
      <x:c r="J52" s="37" t="str">
        <x:v>Booked</x:v>
      </x:c>
      <x:c r="K52" s="37" t="str">
        <x:v>Attended</x:v>
      </x:c>
      <x:c r="L52" s="72" t="n">
        <x:v>0.2881944444444444</x:v>
      </x:c>
      <x:c r="M52" s="59" t="n">
        <x:f>IF(OR(K52="Attended",K52="Late"),1,0)</x:f>
        <x:v>1</x:v>
      </x:c>
      <x:c r="N52" s="37" t="n">
        <x:v>5</x:v>
      </x:c>
      <x:c r="O52" s="37" t="str">
        <x:v>Demo attendance</x:v>
      </x:c>
    </x:row>
    <x:row r="53">
      <x:c r="A53" s="37" t="str">
        <x:v>DEMO</x:v>
      </x:c>
      <x:c r="B53" s="59" t="str">
        <x:f>IF(OR(C53="",E53=""),"","ATT-"&amp;TEXT(ROW()-5,"00000"))</x:f>
        <x:v>ATT-00048</x:v>
      </x:c>
      <x:c r="C53" s="37" t="str">
        <x:v>CLS-260316-0011</x:v>
      </x:c>
      <x:c r="D53" s="74" t="n">
        <x:f>IFERROR(INDEX('03_CLASS_SCHEDULE'!$C$6:$C$105,MATCH(C53,'03_CLASS_SCHEDULE'!$B$6:$B$105,0)),"")</x:f>
        <x:v>46097</x:v>
      </x:c>
      <x:c r="E53" s="37" t="str">
        <x:v>MBR-0007</x:v>
      </x:c>
      <x:c r="F53" s="63" t="str">
        <x:f>IFERROR(INDEX('02_MEMBERS'!$C$6:$C$105,MATCH(E53,'02_MEMBERS'!$B$6:$B$105,0)),"")</x:f>
        <x:v>Anu KC</x:v>
      </x:c>
      <x:c r="G53" s="63" t="str">
        <x:f>IFERROR(INDEX('03_CLASS_SCHEDULE'!$F$6:$F$105,MATCH(C53,'03_CLASS_SCHEDULE'!$B$6:$B$105,0)),"")</x:f>
        <x:v>Main Studio</x:v>
      </x:c>
      <x:c r="H53" s="63" t="str">
        <x:f>IFERROR(INDEX('03_CLASS_SCHEDULE'!$H$6:$H$105,MATCH(C53,'03_CLASS_SCHEDULE'!$B$6:$B$105,0)),"")</x:f>
        <x:v>Reformer Intermediate</x:v>
      </x:c>
      <x:c r="I53" s="63" t="str">
        <x:f>IFERROR(INDEX('03_CLASS_SCHEDULE'!$K$6:$K$105,MATCH(C53,'03_CLASS_SCHEDULE'!$B$6:$B$105,0)),"")</x:f>
        <x:v>Maya Gurung</x:v>
      </x:c>
      <x:c r="J53" s="37" t="str">
        <x:v>Booked</x:v>
      </x:c>
      <x:c r="K53" s="37" t="str">
        <x:v>Late</x:v>
      </x:c>
      <x:c r="L53" s="72" t="n">
        <x:v>0.2881944444444444</x:v>
      </x:c>
      <x:c r="M53" s="59" t="n">
        <x:f>IF(OR(K53="Attended",K53="Late"),1,0)</x:f>
        <x:v>1</x:v>
      </x:c>
      <x:c r="N53" s="37" t="n">
        <x:v>4</x:v>
      </x:c>
      <x:c r="O53" s="37" t="str">
        <x:v>Demo attendance</x:v>
      </x:c>
    </x:row>
    <x:row r="54">
      <x:c r="A54" s="37" t="str">
        <x:v>DEMO</x:v>
      </x:c>
      <x:c r="B54" s="59" t="str">
        <x:f>IF(OR(C54="",E54=""),"","ATT-"&amp;TEXT(ROW()-5,"00000"))</x:f>
        <x:v>ATT-00049</x:v>
      </x:c>
      <x:c r="C54" s="37" t="str">
        <x:v>CLS-260323-0012</x:v>
      </x:c>
      <x:c r="D54" s="74" t="n">
        <x:f>IFERROR(INDEX('03_CLASS_SCHEDULE'!$C$6:$C$105,MATCH(C54,'03_CLASS_SCHEDULE'!$B$6:$B$105,0)),"")</x:f>
        <x:v>46104</x:v>
      </x:c>
      <x:c r="E54" s="37" t="str">
        <x:v>MBR-0004</x:v>
      </x:c>
      <x:c r="F54" s="63" t="str">
        <x:f>IFERROR(INDEX('02_MEMBERS'!$C$6:$C$105,MATCH(E54,'02_MEMBERS'!$B$6:$B$105,0)),"")</x:f>
        <x:v>Nina Maharjan</x:v>
      </x:c>
      <x:c r="G54" s="63" t="str">
        <x:f>IFERROR(INDEX('03_CLASS_SCHEDULE'!$F$6:$F$105,MATCH(C54,'03_CLASS_SCHEDULE'!$B$6:$B$105,0)),"")</x:f>
        <x:v>Main Studio</x:v>
      </x:c>
      <x:c r="H54" s="63" t="str">
        <x:f>IFERROR(INDEX('03_CLASS_SCHEDULE'!$H$6:$H$105,MATCH(C54,'03_CLASS_SCHEDULE'!$B$6:$B$105,0)),"")</x:f>
        <x:v>Mat Pilates</x:v>
      </x:c>
      <x:c r="I54" s="63" t="str">
        <x:f>IFERROR(INDEX('03_CLASS_SCHEDULE'!$K$6:$K$105,MATCH(C54,'03_CLASS_SCHEDULE'!$B$6:$B$105,0)),"")</x:f>
        <x:v>Riya Thapa</x:v>
      </x:c>
      <x:c r="J54" s="37" t="str">
        <x:v>Booked</x:v>
      </x:c>
      <x:c r="K54" s="37" t="str">
        <x:v>No-show</x:v>
      </x:c>
      <x:c r="L54" s="72" t="n">
        <x:v>0.2881944444444444</x:v>
      </x:c>
      <x:c r="M54" s="59" t="n">
        <x:f>IF(OR(K54="Attended",K54="Late"),1,0)</x:f>
        <x:v>0</x:v>
      </x:c>
      <x:c r="N54" s="37" t="n">
        <x:v>4</x:v>
      </x:c>
      <x:c r="O54" s="37" t="str">
        <x:v>Demo attendance</x:v>
      </x:c>
    </x:row>
    <x:row r="55">
      <x:c r="A55" s="37" t="str">
        <x:v>DEMO</x:v>
      </x:c>
      <x:c r="B55" s="59" t="str">
        <x:f>IF(OR(C55="",E55=""),"","ATT-"&amp;TEXT(ROW()-5,"00000"))</x:f>
        <x:v>ATT-00050</x:v>
      </x:c>
      <x:c r="C55" s="37" t="str">
        <x:v>CLS-260323-0012</x:v>
      </x:c>
      <x:c r="D55" s="74" t="n">
        <x:f>IFERROR(INDEX('03_CLASS_SCHEDULE'!$C$6:$C$105,MATCH(C55,'03_CLASS_SCHEDULE'!$B$6:$B$105,0)),"")</x:f>
        <x:v>46104</x:v>
      </x:c>
      <x:c r="E55" s="37" t="str">
        <x:v>MBR-0005</x:v>
      </x:c>
      <x:c r="F55" s="63" t="str">
        <x:f>IFERROR(INDEX('02_MEMBERS'!$C$6:$C$105,MATCH(E55,'02_MEMBERS'!$B$6:$B$105,0)),"")</x:f>
        <x:v>Samira Rana</x:v>
      </x:c>
      <x:c r="G55" s="63" t="str">
        <x:f>IFERROR(INDEX('03_CLASS_SCHEDULE'!$F$6:$F$105,MATCH(C55,'03_CLASS_SCHEDULE'!$B$6:$B$105,0)),"")</x:f>
        <x:v>Main Studio</x:v>
      </x:c>
      <x:c r="H55" s="63" t="str">
        <x:f>IFERROR(INDEX('03_CLASS_SCHEDULE'!$H$6:$H$105,MATCH(C55,'03_CLASS_SCHEDULE'!$B$6:$B$105,0)),"")</x:f>
        <x:v>Mat Pilates</x:v>
      </x:c>
      <x:c r="I55" s="63" t="str">
        <x:f>IFERROR(INDEX('03_CLASS_SCHEDULE'!$K$6:$K$105,MATCH(C55,'03_CLASS_SCHEDULE'!$B$6:$B$105,0)),"")</x:f>
        <x:v>Riya Thapa</x:v>
      </x:c>
      <x:c r="J55" s="37" t="str">
        <x:v>Booked</x:v>
      </x:c>
      <x:c r="K55" s="37" t="str">
        <x:v>Attended</x:v>
      </x:c>
      <x:c r="L55" s="72" t="n">
        <x:v>0.2881944444444444</x:v>
      </x:c>
      <x:c r="M55" s="59" t="n">
        <x:f>IF(OR(K55="Attended",K55="Late"),1,0)</x:f>
        <x:v>1</x:v>
      </x:c>
      <x:c r="N55" s="37" t="n">
        <x:v>5</x:v>
      </x:c>
      <x:c r="O55" s="37" t="str">
        <x:v>Demo attendance</x:v>
      </x:c>
    </x:row>
    <x:row r="56">
      <x:c r="A56" s="37" t="str">
        <x:v>DEMO</x:v>
      </x:c>
      <x:c r="B56" s="59" t="str">
        <x:f>IF(OR(C56="",E56=""),"","ATT-"&amp;TEXT(ROW()-5,"00000"))</x:f>
        <x:v>ATT-00051</x:v>
      </x:c>
      <x:c r="C56" s="37" t="str">
        <x:v>CLS-260323-0012</x:v>
      </x:c>
      <x:c r="D56" s="74" t="n">
        <x:f>IFERROR(INDEX('03_CLASS_SCHEDULE'!$C$6:$C$105,MATCH(C56,'03_CLASS_SCHEDULE'!$B$6:$B$105,0)),"")</x:f>
        <x:v>46104</x:v>
      </x:c>
      <x:c r="E56" s="37" t="str">
        <x:v>MBR-0006</x:v>
      </x:c>
      <x:c r="F56" s="63" t="str">
        <x:f>IFERROR(INDEX('02_MEMBERS'!$C$6:$C$105,MATCH(E56,'02_MEMBERS'!$B$6:$B$105,0)),"")</x:f>
        <x:v>Isha Bista</x:v>
      </x:c>
      <x:c r="G56" s="63" t="str">
        <x:f>IFERROR(INDEX('03_CLASS_SCHEDULE'!$F$6:$F$105,MATCH(C56,'03_CLASS_SCHEDULE'!$B$6:$B$105,0)),"")</x:f>
        <x:v>Main Studio</x:v>
      </x:c>
      <x:c r="H56" s="63" t="str">
        <x:f>IFERROR(INDEX('03_CLASS_SCHEDULE'!$H$6:$H$105,MATCH(C56,'03_CLASS_SCHEDULE'!$B$6:$B$105,0)),"")</x:f>
        <x:v>Mat Pilates</x:v>
      </x:c>
      <x:c r="I56" s="63" t="str">
        <x:f>IFERROR(INDEX('03_CLASS_SCHEDULE'!$K$6:$K$105,MATCH(C56,'03_CLASS_SCHEDULE'!$B$6:$B$105,0)),"")</x:f>
        <x:v>Riya Thapa</x:v>
      </x:c>
      <x:c r="J56" s="37" t="str">
        <x:v>Booked</x:v>
      </x:c>
      <x:c r="K56" s="37" t="str">
        <x:v>Attended</x:v>
      </x:c>
      <x:c r="L56" s="72" t="n">
        <x:v>0.2881944444444444</x:v>
      </x:c>
      <x:c r="M56" s="59" t="n">
        <x:f>IF(OR(K56="Attended",K56="Late"),1,0)</x:f>
        <x:v>1</x:v>
      </x:c>
      <x:c r="N56" s="37" t="n">
        <x:v>4</x:v>
      </x:c>
      <x:c r="O56" s="37" t="str">
        <x:v>Demo attendance</x:v>
      </x:c>
    </x:row>
    <x:row r="57">
      <x:c r="A57" s="37" t="str">
        <x:v>DEMO</x:v>
      </x:c>
      <x:c r="B57" s="59" t="str">
        <x:f>IF(OR(C57="",E57=""),"","ATT-"&amp;TEXT(ROW()-5,"00000"))</x:f>
        <x:v>ATT-00052</x:v>
      </x:c>
      <x:c r="C57" s="37" t="str">
        <x:v>CLS-260323-0012</x:v>
      </x:c>
      <x:c r="D57" s="74" t="n">
        <x:f>IFERROR(INDEX('03_CLASS_SCHEDULE'!$C$6:$C$105,MATCH(C57,'03_CLASS_SCHEDULE'!$B$6:$B$105,0)),"")</x:f>
        <x:v>46104</x:v>
      </x:c>
      <x:c r="E57" s="37" t="str">
        <x:v>MBR-0007</x:v>
      </x:c>
      <x:c r="F57" s="63" t="str">
        <x:f>IFERROR(INDEX('02_MEMBERS'!$C$6:$C$105,MATCH(E57,'02_MEMBERS'!$B$6:$B$105,0)),"")</x:f>
        <x:v>Anu KC</x:v>
      </x:c>
      <x:c r="G57" s="63" t="str">
        <x:f>IFERROR(INDEX('03_CLASS_SCHEDULE'!$F$6:$F$105,MATCH(C57,'03_CLASS_SCHEDULE'!$B$6:$B$105,0)),"")</x:f>
        <x:v>Main Studio</x:v>
      </x:c>
      <x:c r="H57" s="63" t="str">
        <x:f>IFERROR(INDEX('03_CLASS_SCHEDULE'!$H$6:$H$105,MATCH(C57,'03_CLASS_SCHEDULE'!$B$6:$B$105,0)),"")</x:f>
        <x:v>Mat Pilates</x:v>
      </x:c>
      <x:c r="I57" s="63" t="str">
        <x:f>IFERROR(INDEX('03_CLASS_SCHEDULE'!$K$6:$K$105,MATCH(C57,'03_CLASS_SCHEDULE'!$B$6:$B$105,0)),"")</x:f>
        <x:v>Riya Thapa</x:v>
      </x:c>
      <x:c r="J57" s="37" t="str">
        <x:v>Booked</x:v>
      </x:c>
      <x:c r="K57" s="37" t="str">
        <x:v>Late</x:v>
      </x:c>
      <x:c r="L57" s="72" t="n">
        <x:v>0.2881944444444444</x:v>
      </x:c>
      <x:c r="M57" s="59" t="n">
        <x:f>IF(OR(K57="Attended",K57="Late"),1,0)</x:f>
        <x:v>1</x:v>
      </x:c>
      <x:c r="N57" s="37" t="n">
        <x:v>5</x:v>
      </x:c>
      <x:c r="O57" s="37" t="str">
        <x:v>Demo attendance</x:v>
      </x:c>
    </x:row>
    <x:row r="58">
      <x:c r="A58" s="37" t="str">
        <x:v>DEMO</x:v>
      </x:c>
      <x:c r="B58" s="59" t="str">
        <x:f>IF(OR(C58="",E58=""),"","ATT-"&amp;TEXT(ROW()-5,"00000"))</x:f>
        <x:v>ATT-00053</x:v>
      </x:c>
      <x:c r="C58" s="37" t="str">
        <x:v>CLS-260323-0012</x:v>
      </x:c>
      <x:c r="D58" s="74" t="n">
        <x:f>IFERROR(INDEX('03_CLASS_SCHEDULE'!$C$6:$C$105,MATCH(C58,'03_CLASS_SCHEDULE'!$B$6:$B$105,0)),"")</x:f>
        <x:v>46104</x:v>
      </x:c>
      <x:c r="E58" s="37" t="str">
        <x:v>MBR-0008</x:v>
      </x:c>
      <x:c r="F58" s="63" t="str">
        <x:f>IFERROR(INDEX('02_MEMBERS'!$C$6:$C$105,MATCH(E58,'02_MEMBERS'!$B$6:$B$105,0)),"")</x:f>
        <x:v>Roshni Lama</x:v>
      </x:c>
      <x:c r="G58" s="63" t="str">
        <x:f>IFERROR(INDEX('03_CLASS_SCHEDULE'!$F$6:$F$105,MATCH(C58,'03_CLASS_SCHEDULE'!$B$6:$B$105,0)),"")</x:f>
        <x:v>Main Studio</x:v>
      </x:c>
      <x:c r="H58" s="63" t="str">
        <x:f>IFERROR(INDEX('03_CLASS_SCHEDULE'!$H$6:$H$105,MATCH(C58,'03_CLASS_SCHEDULE'!$B$6:$B$105,0)),"")</x:f>
        <x:v>Mat Pilates</x:v>
      </x:c>
      <x:c r="I58" s="63" t="str">
        <x:f>IFERROR(INDEX('03_CLASS_SCHEDULE'!$K$6:$K$105,MATCH(C58,'03_CLASS_SCHEDULE'!$B$6:$B$105,0)),"")</x:f>
        <x:v>Riya Thapa</x:v>
      </x:c>
      <x:c r="J58" s="37" t="str">
        <x:v>Booked</x:v>
      </x:c>
      <x:c r="K58" s="37" t="str">
        <x:v>Attended</x:v>
      </x:c>
      <x:c r="L58" s="72" t="n">
        <x:v>0.2881944444444444</x:v>
      </x:c>
      <x:c r="M58" s="59" t="n">
        <x:f>IF(OR(K58="Attended",K58="Late"),1,0)</x:f>
        <x:v>1</x:v>
      </x:c>
      <x:c r="N58" s="37" t="n">
        <x:v>4</x:v>
      </x:c>
      <x:c r="O58" s="37" t="str">
        <x:v>Demo attendance</x:v>
      </x:c>
    </x:row>
    <x:row r="59">
      <x:c r="A59" s="37" t="str">
        <x:v>DEMO</x:v>
      </x:c>
      <x:c r="B59" s="59" t="str">
        <x:f>IF(OR(C59="",E59=""),"","ATT-"&amp;TEXT(ROW()-5,"00000"))</x:f>
        <x:v>ATT-00054</x:v>
      </x:c>
      <x:c r="C59" s="37" t="str">
        <x:v>CLS-260323-0012</x:v>
      </x:c>
      <x:c r="D59" s="74" t="n">
        <x:f>IFERROR(INDEX('03_CLASS_SCHEDULE'!$C$6:$C$105,MATCH(C59,'03_CLASS_SCHEDULE'!$B$6:$B$105,0)),"")</x:f>
        <x:v>46104</x:v>
      </x:c>
      <x:c r="E59" s="37" t="str">
        <x:v>MBR-0009</x:v>
      </x:c>
      <x:c r="F59" s="63" t="str">
        <x:f>IFERROR(INDEX('02_MEMBERS'!$C$6:$C$105,MATCH(E59,'02_MEMBERS'!$B$6:$B$105,0)),"")</x:f>
        <x:v>Kritika Poudel</x:v>
      </x:c>
      <x:c r="G59" s="63" t="str">
        <x:f>IFERROR(INDEX('03_CLASS_SCHEDULE'!$F$6:$F$105,MATCH(C59,'03_CLASS_SCHEDULE'!$B$6:$B$105,0)),"")</x:f>
        <x:v>Main Studio</x:v>
      </x:c>
      <x:c r="H59" s="63" t="str">
        <x:f>IFERROR(INDEX('03_CLASS_SCHEDULE'!$H$6:$H$105,MATCH(C59,'03_CLASS_SCHEDULE'!$B$6:$B$105,0)),"")</x:f>
        <x:v>Mat Pilates</x:v>
      </x:c>
      <x:c r="I59" s="63" t="str">
        <x:f>IFERROR(INDEX('03_CLASS_SCHEDULE'!$K$6:$K$105,MATCH(C59,'03_CLASS_SCHEDULE'!$B$6:$B$105,0)),"")</x:f>
        <x:v>Riya Thapa</x:v>
      </x:c>
      <x:c r="J59" s="37" t="str">
        <x:v>Booked</x:v>
      </x:c>
      <x:c r="K59" s="37" t="str">
        <x:v>Attended</x:v>
      </x:c>
      <x:c r="L59" s="72" t="n">
        <x:v>0.2881944444444444</x:v>
      </x:c>
      <x:c r="M59" s="59" t="n">
        <x:f>IF(OR(K59="Attended",K59="Late"),1,0)</x:f>
        <x:v>1</x:v>
      </x:c>
      <x:c r="N59" s="37" t="n">
        <x:v>5</x:v>
      </x:c>
      <x:c r="O59" s="37" t="str">
        <x:v>Demo attendance</x:v>
      </x:c>
    </x:row>
    <x:row r="60">
      <x:c r="A60" s="37" t="str">
        <x:v>DEMO</x:v>
      </x:c>
      <x:c r="B60" s="59" t="str">
        <x:f>IF(OR(C60="",E60=""),"","ATT-"&amp;TEXT(ROW()-5,"00000"))</x:f>
        <x:v>ATT-00055</x:v>
      </x:c>
      <x:c r="C60" s="37" t="str">
        <x:v>CLS-260330-0013</x:v>
      </x:c>
      <x:c r="D60" s="74" t="n">
        <x:f>IFERROR(INDEX('03_CLASS_SCHEDULE'!$C$6:$C$105,MATCH(C60,'03_CLASS_SCHEDULE'!$B$6:$B$105,0)),"")</x:f>
        <x:v>46111</x:v>
      </x:c>
      <x:c r="E60" s="37" t="str">
        <x:v>MBR-0005</x:v>
      </x:c>
      <x:c r="F60" s="63" t="str">
        <x:f>IFERROR(INDEX('02_MEMBERS'!$C$6:$C$105,MATCH(E60,'02_MEMBERS'!$B$6:$B$105,0)),"")</x:f>
        <x:v>Samira Rana</x:v>
      </x:c>
      <x:c r="G60" s="63" t="str">
        <x:f>IFERROR(INDEX('03_CLASS_SCHEDULE'!$F$6:$F$105,MATCH(C60,'03_CLASS_SCHEDULE'!$B$6:$B$105,0)),"")</x:f>
        <x:v>Main Studio</x:v>
      </x:c>
      <x:c r="H60" s="63" t="str">
        <x:f>IFERROR(INDEX('03_CLASS_SCHEDULE'!$H$6:$H$105,MATCH(C60,'03_CLASS_SCHEDULE'!$B$6:$B$105,0)),"")</x:f>
        <x:v>Reformer Beginner</x:v>
      </x:c>
      <x:c r="I60" s="63" t="str">
        <x:f>IFERROR(INDEX('03_CLASS_SCHEDULE'!$K$6:$K$105,MATCH(C60,'03_CLASS_SCHEDULE'!$B$6:$B$105,0)),"")</x:f>
        <x:v>Maya Gurung</x:v>
      </x:c>
      <x:c r="J60" s="37" t="str">
        <x:v>Booked</x:v>
      </x:c>
      <x:c r="K60" s="37" t="str">
        <x:v>Attended</x:v>
      </x:c>
      <x:c r="L60" s="72" t="n">
        <x:v>0.2881944444444444</x:v>
      </x:c>
      <x:c r="M60" s="59" t="n">
        <x:f>IF(OR(K60="Attended",K60="Late"),1,0)</x:f>
        <x:v>1</x:v>
      </x:c>
      <x:c r="N60" s="37" t="n">
        <x:v>4</x:v>
      </x:c>
      <x:c r="O60" s="37" t="str">
        <x:v>Demo attendance</x:v>
      </x:c>
    </x:row>
    <x:row r="61">
      <x:c r="A61" s="37" t="str">
        <x:v>DEMO</x:v>
      </x:c>
      <x:c r="B61" s="59" t="str">
        <x:f>IF(OR(C61="",E61=""),"","ATT-"&amp;TEXT(ROW()-5,"00000"))</x:f>
        <x:v>ATT-00056</x:v>
      </x:c>
      <x:c r="C61" s="37" t="str">
        <x:v>CLS-260330-0013</x:v>
      </x:c>
      <x:c r="D61" s="74" t="n">
        <x:f>IFERROR(INDEX('03_CLASS_SCHEDULE'!$C$6:$C$105,MATCH(C61,'03_CLASS_SCHEDULE'!$B$6:$B$105,0)),"")</x:f>
        <x:v>46111</x:v>
      </x:c>
      <x:c r="E61" s="37" t="str">
        <x:v>MBR-0006</x:v>
      </x:c>
      <x:c r="F61" s="63" t="str">
        <x:f>IFERROR(INDEX('02_MEMBERS'!$C$6:$C$105,MATCH(E61,'02_MEMBERS'!$B$6:$B$105,0)),"")</x:f>
        <x:v>Isha Bista</x:v>
      </x:c>
      <x:c r="G61" s="63" t="str">
        <x:f>IFERROR(INDEX('03_CLASS_SCHEDULE'!$F$6:$F$105,MATCH(C61,'03_CLASS_SCHEDULE'!$B$6:$B$105,0)),"")</x:f>
        <x:v>Main Studio</x:v>
      </x:c>
      <x:c r="H61" s="63" t="str">
        <x:f>IFERROR(INDEX('03_CLASS_SCHEDULE'!$H$6:$H$105,MATCH(C61,'03_CLASS_SCHEDULE'!$B$6:$B$105,0)),"")</x:f>
        <x:v>Reformer Beginner</x:v>
      </x:c>
      <x:c r="I61" s="63" t="str">
        <x:f>IFERROR(INDEX('03_CLASS_SCHEDULE'!$K$6:$K$105,MATCH(C61,'03_CLASS_SCHEDULE'!$B$6:$B$105,0)),"")</x:f>
        <x:v>Maya Gurung</x:v>
      </x:c>
      <x:c r="J61" s="37" t="str">
        <x:v>Booked</x:v>
      </x:c>
      <x:c r="K61" s="37" t="str">
        <x:v>Attended</x:v>
      </x:c>
      <x:c r="L61" s="72" t="n">
        <x:v>0.2881944444444444</x:v>
      </x:c>
      <x:c r="M61" s="59" t="n">
        <x:f>IF(OR(K61="Attended",K61="Late"),1,0)</x:f>
        <x:v>1</x:v>
      </x:c>
      <x:c r="N61" s="37" t="n">
        <x:v>5</x:v>
      </x:c>
      <x:c r="O61" s="37" t="str">
        <x:v>Demo attendance</x:v>
      </x:c>
    </x:row>
    <x:row r="62">
      <x:c r="A62" s="37" t="str">
        <x:v>DEMO</x:v>
      </x:c>
      <x:c r="B62" s="59" t="str">
        <x:f>IF(OR(C62="",E62=""),"","ATT-"&amp;TEXT(ROW()-5,"00000"))</x:f>
        <x:v>ATT-00057</x:v>
      </x:c>
      <x:c r="C62" s="37" t="str">
        <x:v>CLS-260330-0013</x:v>
      </x:c>
      <x:c r="D62" s="74" t="n">
        <x:f>IFERROR(INDEX('03_CLASS_SCHEDULE'!$C$6:$C$105,MATCH(C62,'03_CLASS_SCHEDULE'!$B$6:$B$105,0)),"")</x:f>
        <x:v>46111</x:v>
      </x:c>
      <x:c r="E62" s="37" t="str">
        <x:v>MBR-0007</x:v>
      </x:c>
      <x:c r="F62" s="63" t="str">
        <x:f>IFERROR(INDEX('02_MEMBERS'!$C$6:$C$105,MATCH(E62,'02_MEMBERS'!$B$6:$B$105,0)),"")</x:f>
        <x:v>Anu KC</x:v>
      </x:c>
      <x:c r="G62" s="63" t="str">
        <x:f>IFERROR(INDEX('03_CLASS_SCHEDULE'!$F$6:$F$105,MATCH(C62,'03_CLASS_SCHEDULE'!$B$6:$B$105,0)),"")</x:f>
        <x:v>Main Studio</x:v>
      </x:c>
      <x:c r="H62" s="63" t="str">
        <x:f>IFERROR(INDEX('03_CLASS_SCHEDULE'!$H$6:$H$105,MATCH(C62,'03_CLASS_SCHEDULE'!$B$6:$B$105,0)),"")</x:f>
        <x:v>Reformer Beginner</x:v>
      </x:c>
      <x:c r="I62" s="63" t="str">
        <x:f>IFERROR(INDEX('03_CLASS_SCHEDULE'!$K$6:$K$105,MATCH(C62,'03_CLASS_SCHEDULE'!$B$6:$B$105,0)),"")</x:f>
        <x:v>Maya Gurung</x:v>
      </x:c>
      <x:c r="J62" s="37" t="str">
        <x:v>Booked</x:v>
      </x:c>
      <x:c r="K62" s="37" t="str">
        <x:v>Late</x:v>
      </x:c>
      <x:c r="L62" s="72" t="n">
        <x:v>0.2881944444444444</x:v>
      </x:c>
      <x:c r="M62" s="59" t="n">
        <x:f>IF(OR(K62="Attended",K62="Late"),1,0)</x:f>
        <x:v>1</x:v>
      </x:c>
      <x:c r="N62" s="37" t="n">
        <x:v>4</x:v>
      </x:c>
      <x:c r="O62" s="37" t="str">
        <x:v>Demo attendance</x:v>
      </x:c>
    </x:row>
    <x:row r="63">
      <x:c r="A63" s="37" t="str">
        <x:v>DEMO</x:v>
      </x:c>
      <x:c r="B63" s="59" t="str">
        <x:f>IF(OR(C63="",E63=""),"","ATT-"&amp;TEXT(ROW()-5,"00000"))</x:f>
        <x:v>ATT-00058</x:v>
      </x:c>
      <x:c r="C63" s="37" t="str">
        <x:v>CLS-260406-0014</x:v>
      </x:c>
      <x:c r="D63" s="74" t="n">
        <x:f>IFERROR(INDEX('03_CLASS_SCHEDULE'!$C$6:$C$105,MATCH(C63,'03_CLASS_SCHEDULE'!$B$6:$B$105,0)),"")</x:f>
        <x:v>46118</x:v>
      </x:c>
      <x:c r="E63" s="37" t="str">
        <x:v>MBR-0006</x:v>
      </x:c>
      <x:c r="F63" s="63" t="str">
        <x:f>IFERROR(INDEX('02_MEMBERS'!$C$6:$C$105,MATCH(E63,'02_MEMBERS'!$B$6:$B$105,0)),"")</x:f>
        <x:v>Isha Bista</x:v>
      </x:c>
      <x:c r="G63" s="63" t="str">
        <x:f>IFERROR(INDEX('03_CLASS_SCHEDULE'!$F$6:$F$105,MATCH(C63,'03_CLASS_SCHEDULE'!$B$6:$B$105,0)),"")</x:f>
        <x:v>Main Studio</x:v>
      </x:c>
      <x:c r="H63" s="63" t="str">
        <x:f>IFERROR(INDEX('03_CLASS_SCHEDULE'!$H$6:$H$105,MATCH(C63,'03_CLASS_SCHEDULE'!$B$6:$B$105,0)),"")</x:f>
        <x:v>Reformer Intermediate</x:v>
      </x:c>
      <x:c r="I63" s="63" t="str">
        <x:f>IFERROR(INDEX('03_CLASS_SCHEDULE'!$K$6:$K$105,MATCH(C63,'03_CLASS_SCHEDULE'!$B$6:$B$105,0)),"")</x:f>
        <x:v>Riya Thapa</x:v>
      </x:c>
      <x:c r="J63" s="37" t="str">
        <x:v>Booked</x:v>
      </x:c>
      <x:c r="K63" s="37" t="str">
        <x:v>Attended</x:v>
      </x:c>
      <x:c r="L63" s="72" t="n">
        <x:v>0.2881944444444444</x:v>
      </x:c>
      <x:c r="M63" s="59" t="n">
        <x:f>IF(OR(K63="Attended",K63="Late"),1,0)</x:f>
        <x:v>1</x:v>
      </x:c>
      <x:c r="N63" s="37" t="n">
        <x:v>4</x:v>
      </x:c>
      <x:c r="O63" s="37" t="str">
        <x:v>Demo attendance</x:v>
      </x:c>
    </x:row>
    <x:row r="64">
      <x:c r="A64" s="37" t="str">
        <x:v>DEMO</x:v>
      </x:c>
      <x:c r="B64" s="59" t="str">
        <x:f>IF(OR(C64="",E64=""),"","ATT-"&amp;TEXT(ROW()-5,"00000"))</x:f>
        <x:v>ATT-00059</x:v>
      </x:c>
      <x:c r="C64" s="37" t="str">
        <x:v>CLS-260406-0014</x:v>
      </x:c>
      <x:c r="D64" s="74" t="n">
        <x:f>IFERROR(INDEX('03_CLASS_SCHEDULE'!$C$6:$C$105,MATCH(C64,'03_CLASS_SCHEDULE'!$B$6:$B$105,0)),"")</x:f>
        <x:v>46118</x:v>
      </x:c>
      <x:c r="E64" s="37" t="str">
        <x:v>MBR-0007</x:v>
      </x:c>
      <x:c r="F64" s="63" t="str">
        <x:f>IFERROR(INDEX('02_MEMBERS'!$C$6:$C$105,MATCH(E64,'02_MEMBERS'!$B$6:$B$105,0)),"")</x:f>
        <x:v>Anu KC</x:v>
      </x:c>
      <x:c r="G64" s="63" t="str">
        <x:f>IFERROR(INDEX('03_CLASS_SCHEDULE'!$F$6:$F$105,MATCH(C64,'03_CLASS_SCHEDULE'!$B$6:$B$105,0)),"")</x:f>
        <x:v>Main Studio</x:v>
      </x:c>
      <x:c r="H64" s="63" t="str">
        <x:f>IFERROR(INDEX('03_CLASS_SCHEDULE'!$H$6:$H$105,MATCH(C64,'03_CLASS_SCHEDULE'!$B$6:$B$105,0)),"")</x:f>
        <x:v>Reformer Intermediate</x:v>
      </x:c>
      <x:c r="I64" s="63" t="str">
        <x:f>IFERROR(INDEX('03_CLASS_SCHEDULE'!$K$6:$K$105,MATCH(C64,'03_CLASS_SCHEDULE'!$B$6:$B$105,0)),"")</x:f>
        <x:v>Riya Thapa</x:v>
      </x:c>
      <x:c r="J64" s="37" t="str">
        <x:v>Booked</x:v>
      </x:c>
      <x:c r="K64" s="37" t="str">
        <x:v>Late</x:v>
      </x:c>
      <x:c r="L64" s="72" t="n">
        <x:v>0.2881944444444444</x:v>
      </x:c>
      <x:c r="M64" s="59" t="n">
        <x:f>IF(OR(K64="Attended",K64="Late"),1,0)</x:f>
        <x:v>1</x:v>
      </x:c>
      <x:c r="N64" s="37" t="n">
        <x:v>5</x:v>
      </x:c>
      <x:c r="O64" s="37" t="str">
        <x:v>Demo attendance</x:v>
      </x:c>
    </x:row>
    <x:row r="65">
      <x:c r="A65" s="37" t="str">
        <x:v>DEMO</x:v>
      </x:c>
      <x:c r="B65" s="59" t="str">
        <x:f>IF(OR(C65="",E65=""),"","ATT-"&amp;TEXT(ROW()-5,"00000"))</x:f>
        <x:v>ATT-00060</x:v>
      </x:c>
      <x:c r="C65" s="37" t="str">
        <x:v>CLS-260406-0014</x:v>
      </x:c>
      <x:c r="D65" s="74" t="n">
        <x:f>IFERROR(INDEX('03_CLASS_SCHEDULE'!$C$6:$C$105,MATCH(C65,'03_CLASS_SCHEDULE'!$B$6:$B$105,0)),"")</x:f>
        <x:v>46118</x:v>
      </x:c>
      <x:c r="E65" s="37" t="str">
        <x:v>MBR-0008</x:v>
      </x:c>
      <x:c r="F65" s="63" t="str">
        <x:f>IFERROR(INDEX('02_MEMBERS'!$C$6:$C$105,MATCH(E65,'02_MEMBERS'!$B$6:$B$105,0)),"")</x:f>
        <x:v>Roshni Lama</x:v>
      </x:c>
      <x:c r="G65" s="63" t="str">
        <x:f>IFERROR(INDEX('03_CLASS_SCHEDULE'!$F$6:$F$105,MATCH(C65,'03_CLASS_SCHEDULE'!$B$6:$B$105,0)),"")</x:f>
        <x:v>Main Studio</x:v>
      </x:c>
      <x:c r="H65" s="63" t="str">
        <x:f>IFERROR(INDEX('03_CLASS_SCHEDULE'!$H$6:$H$105,MATCH(C65,'03_CLASS_SCHEDULE'!$B$6:$B$105,0)),"")</x:f>
        <x:v>Reformer Intermediate</x:v>
      </x:c>
      <x:c r="I65" s="63" t="str">
        <x:f>IFERROR(INDEX('03_CLASS_SCHEDULE'!$K$6:$K$105,MATCH(C65,'03_CLASS_SCHEDULE'!$B$6:$B$105,0)),"")</x:f>
        <x:v>Riya Thapa</x:v>
      </x:c>
      <x:c r="J65" s="37" t="str">
        <x:v>Booked</x:v>
      </x:c>
      <x:c r="K65" s="37" t="str">
        <x:v>Attended</x:v>
      </x:c>
      <x:c r="L65" s="72" t="n">
        <x:v>0.2881944444444444</x:v>
      </x:c>
      <x:c r="M65" s="59" t="n">
        <x:f>IF(OR(K65="Attended",K65="Late"),1,0)</x:f>
        <x:v>1</x:v>
      </x:c>
      <x:c r="N65" s="37" t="n">
        <x:v>4</x:v>
      </x:c>
      <x:c r="O65" s="37" t="str">
        <x:v>Demo attendance</x:v>
      </x:c>
    </x:row>
    <x:row r="66">
      <x:c r="A66" s="37" t="str">
        <x:v>DEMO</x:v>
      </x:c>
      <x:c r="B66" s="59" t="str">
        <x:f>IF(OR(C66="",E66=""),"","ATT-"&amp;TEXT(ROW()-5,"00000"))</x:f>
        <x:v>ATT-00061</x:v>
      </x:c>
      <x:c r="C66" s="37" t="str">
        <x:v>CLS-260406-0014</x:v>
      </x:c>
      <x:c r="D66" s="74" t="n">
        <x:f>IFERROR(INDEX('03_CLASS_SCHEDULE'!$C$6:$C$105,MATCH(C66,'03_CLASS_SCHEDULE'!$B$6:$B$105,0)),"")</x:f>
        <x:v>46118</x:v>
      </x:c>
      <x:c r="E66" s="37" t="str">
        <x:v>MBR-0009</x:v>
      </x:c>
      <x:c r="F66" s="63" t="str">
        <x:f>IFERROR(INDEX('02_MEMBERS'!$C$6:$C$105,MATCH(E66,'02_MEMBERS'!$B$6:$B$105,0)),"")</x:f>
        <x:v>Kritika Poudel</x:v>
      </x:c>
      <x:c r="G66" s="63" t="str">
        <x:f>IFERROR(INDEX('03_CLASS_SCHEDULE'!$F$6:$F$105,MATCH(C66,'03_CLASS_SCHEDULE'!$B$6:$B$105,0)),"")</x:f>
        <x:v>Main Studio</x:v>
      </x:c>
      <x:c r="H66" s="63" t="str">
        <x:f>IFERROR(INDEX('03_CLASS_SCHEDULE'!$H$6:$H$105,MATCH(C66,'03_CLASS_SCHEDULE'!$B$6:$B$105,0)),"")</x:f>
        <x:v>Reformer Intermediate</x:v>
      </x:c>
      <x:c r="I66" s="63" t="str">
        <x:f>IFERROR(INDEX('03_CLASS_SCHEDULE'!$K$6:$K$105,MATCH(C66,'03_CLASS_SCHEDULE'!$B$6:$B$105,0)),"")</x:f>
        <x:v>Riya Thapa</x:v>
      </x:c>
      <x:c r="J66" s="37" t="str">
        <x:v>Booked</x:v>
      </x:c>
      <x:c r="K66" s="37" t="str">
        <x:v>Attended</x:v>
      </x:c>
      <x:c r="L66" s="72" t="n">
        <x:v>0.2881944444444444</x:v>
      </x:c>
      <x:c r="M66" s="59" t="n">
        <x:f>IF(OR(K66="Attended",K66="Late"),1,0)</x:f>
        <x:v>1</x:v>
      </x:c>
      <x:c r="N66" s="37" t="n">
        <x:v>5</x:v>
      </x:c>
      <x:c r="O66" s="37" t="str">
        <x:v>Demo attendance</x:v>
      </x:c>
    </x:row>
    <x:row r="67">
      <x:c r="A67" s="37" t="str">
        <x:v>DEMO</x:v>
      </x:c>
      <x:c r="B67" s="59" t="str">
        <x:f>IF(OR(C67="",E67=""),"","ATT-"&amp;TEXT(ROW()-5,"00000"))</x:f>
        <x:v>ATT-00062</x:v>
      </x:c>
      <x:c r="C67" s="37" t="str">
        <x:v>CLS-260413-0015</x:v>
      </x:c>
      <x:c r="D67" s="74" t="n">
        <x:f>IFERROR(INDEX('03_CLASS_SCHEDULE'!$C$6:$C$105,MATCH(C67,'03_CLASS_SCHEDULE'!$B$6:$B$105,0)),"")</x:f>
        <x:v>46125</x:v>
      </x:c>
      <x:c r="E67" s="37" t="str">
        <x:v>MBR-0007</x:v>
      </x:c>
      <x:c r="F67" s="63" t="str">
        <x:f>IFERROR(INDEX('02_MEMBERS'!$C$6:$C$105,MATCH(E67,'02_MEMBERS'!$B$6:$B$105,0)),"")</x:f>
        <x:v>Anu KC</x:v>
      </x:c>
      <x:c r="G67" s="63" t="str">
        <x:f>IFERROR(INDEX('03_CLASS_SCHEDULE'!$F$6:$F$105,MATCH(C67,'03_CLASS_SCHEDULE'!$B$6:$B$105,0)),"")</x:f>
        <x:v>Main Studio</x:v>
      </x:c>
      <x:c r="H67" s="63" t="str">
        <x:f>IFERROR(INDEX('03_CLASS_SCHEDULE'!$H$6:$H$105,MATCH(C67,'03_CLASS_SCHEDULE'!$B$6:$B$105,0)),"")</x:f>
        <x:v>Mat Pilates</x:v>
      </x:c>
      <x:c r="I67" s="63" t="str">
        <x:f>IFERROR(INDEX('03_CLASS_SCHEDULE'!$K$6:$K$105,MATCH(C67,'03_CLASS_SCHEDULE'!$B$6:$B$105,0)),"")</x:f>
        <x:v>Maya Gurung</x:v>
      </x:c>
      <x:c r="J67" s="37" t="str">
        <x:v>Booked</x:v>
      </x:c>
      <x:c r="K67" s="37" t="str">
        <x:v>Late</x:v>
      </x:c>
      <x:c r="L67" s="72" t="n">
        <x:v>0.2881944444444444</x:v>
      </x:c>
      <x:c r="M67" s="59" t="n">
        <x:f>IF(OR(K67="Attended",K67="Late"),1,0)</x:f>
        <x:v>1</x:v>
      </x:c>
      <x:c r="N67" s="37" t="n">
        <x:v>4</x:v>
      </x:c>
      <x:c r="O67" s="37" t="str">
        <x:v>Demo attendance</x:v>
      </x:c>
    </x:row>
    <x:row r="68">
      <x:c r="A68" s="37" t="str">
        <x:v>DEMO</x:v>
      </x:c>
      <x:c r="B68" s="59" t="str">
        <x:f>IF(OR(C68="",E68=""),"","ATT-"&amp;TEXT(ROW()-5,"00000"))</x:f>
        <x:v>ATT-00063</x:v>
      </x:c>
      <x:c r="C68" s="37" t="str">
        <x:v>CLS-260413-0015</x:v>
      </x:c>
      <x:c r="D68" s="74" t="n">
        <x:f>IFERROR(INDEX('03_CLASS_SCHEDULE'!$C$6:$C$105,MATCH(C68,'03_CLASS_SCHEDULE'!$B$6:$B$105,0)),"")</x:f>
        <x:v>46125</x:v>
      </x:c>
      <x:c r="E68" s="37" t="str">
        <x:v>MBR-0008</x:v>
      </x:c>
      <x:c r="F68" s="63" t="str">
        <x:f>IFERROR(INDEX('02_MEMBERS'!$C$6:$C$105,MATCH(E68,'02_MEMBERS'!$B$6:$B$105,0)),"")</x:f>
        <x:v>Roshni Lama</x:v>
      </x:c>
      <x:c r="G68" s="63" t="str">
        <x:f>IFERROR(INDEX('03_CLASS_SCHEDULE'!$F$6:$F$105,MATCH(C68,'03_CLASS_SCHEDULE'!$B$6:$B$105,0)),"")</x:f>
        <x:v>Main Studio</x:v>
      </x:c>
      <x:c r="H68" s="63" t="str">
        <x:f>IFERROR(INDEX('03_CLASS_SCHEDULE'!$H$6:$H$105,MATCH(C68,'03_CLASS_SCHEDULE'!$B$6:$B$105,0)),"")</x:f>
        <x:v>Mat Pilates</x:v>
      </x:c>
      <x:c r="I68" s="63" t="str">
        <x:f>IFERROR(INDEX('03_CLASS_SCHEDULE'!$K$6:$K$105,MATCH(C68,'03_CLASS_SCHEDULE'!$B$6:$B$105,0)),"")</x:f>
        <x:v>Maya Gurung</x:v>
      </x:c>
      <x:c r="J68" s="37" t="str">
        <x:v>Booked</x:v>
      </x:c>
      <x:c r="K68" s="37" t="str">
        <x:v>Attended</x:v>
      </x:c>
      <x:c r="L68" s="72" t="n">
        <x:v>0.2881944444444444</x:v>
      </x:c>
      <x:c r="M68" s="59" t="n">
        <x:f>IF(OR(K68="Attended",K68="Late"),1,0)</x:f>
        <x:v>1</x:v>
      </x:c>
      <x:c r="N68" s="37" t="n">
        <x:v>5</x:v>
      </x:c>
      <x:c r="O68" s="37" t="str">
        <x:v>Demo attendance</x:v>
      </x:c>
    </x:row>
    <x:row r="69">
      <x:c r="A69" s="37" t="str">
        <x:v>DEMO</x:v>
      </x:c>
      <x:c r="B69" s="59" t="str">
        <x:f>IF(OR(C69="",E69=""),"","ATT-"&amp;TEXT(ROW()-5,"00000"))</x:f>
        <x:v>ATT-00064</x:v>
      </x:c>
      <x:c r="C69" s="37" t="str">
        <x:v>CLS-260413-0015</x:v>
      </x:c>
      <x:c r="D69" s="74" t="n">
        <x:f>IFERROR(INDEX('03_CLASS_SCHEDULE'!$C$6:$C$105,MATCH(C69,'03_CLASS_SCHEDULE'!$B$6:$B$105,0)),"")</x:f>
        <x:v>46125</x:v>
      </x:c>
      <x:c r="E69" s="37" t="str">
        <x:v>MBR-0009</x:v>
      </x:c>
      <x:c r="F69" s="63" t="str">
        <x:f>IFERROR(INDEX('02_MEMBERS'!$C$6:$C$105,MATCH(E69,'02_MEMBERS'!$B$6:$B$105,0)),"")</x:f>
        <x:v>Kritika Poudel</x:v>
      </x:c>
      <x:c r="G69" s="63" t="str">
        <x:f>IFERROR(INDEX('03_CLASS_SCHEDULE'!$F$6:$F$105,MATCH(C69,'03_CLASS_SCHEDULE'!$B$6:$B$105,0)),"")</x:f>
        <x:v>Main Studio</x:v>
      </x:c>
      <x:c r="H69" s="63" t="str">
        <x:f>IFERROR(INDEX('03_CLASS_SCHEDULE'!$H$6:$H$105,MATCH(C69,'03_CLASS_SCHEDULE'!$B$6:$B$105,0)),"")</x:f>
        <x:v>Mat Pilates</x:v>
      </x:c>
      <x:c r="I69" s="63" t="str">
        <x:f>IFERROR(INDEX('03_CLASS_SCHEDULE'!$K$6:$K$105,MATCH(C69,'03_CLASS_SCHEDULE'!$B$6:$B$105,0)),"")</x:f>
        <x:v>Maya Gurung</x:v>
      </x:c>
      <x:c r="J69" s="37" t="str">
        <x:v>Booked</x:v>
      </x:c>
      <x:c r="K69" s="37" t="str">
        <x:v>Attended</x:v>
      </x:c>
      <x:c r="L69" s="72" t="n">
        <x:v>0.2881944444444444</x:v>
      </x:c>
      <x:c r="M69" s="59" t="n">
        <x:f>IF(OR(K69="Attended",K69="Late"),1,0)</x:f>
        <x:v>1</x:v>
      </x:c>
      <x:c r="N69" s="37" t="n">
        <x:v>4</x:v>
      </x:c>
      <x:c r="O69" s="37" t="str">
        <x:v>Demo attendance</x:v>
      </x:c>
    </x:row>
    <x:row r="70">
      <x:c r="A70" s="37" t="str">
        <x:v>DEMO</x:v>
      </x:c>
      <x:c r="B70" s="59" t="str">
        <x:f>IF(OR(C70="",E70=""),"","ATT-"&amp;TEXT(ROW()-5,"00000"))</x:f>
        <x:v>ATT-00065</x:v>
      </x:c>
      <x:c r="C70" s="37" t="str">
        <x:v>CLS-260413-0015</x:v>
      </x:c>
      <x:c r="D70" s="74" t="n">
        <x:f>IFERROR(INDEX('03_CLASS_SCHEDULE'!$C$6:$C$105,MATCH(C70,'03_CLASS_SCHEDULE'!$B$6:$B$105,0)),"")</x:f>
        <x:v>46125</x:v>
      </x:c>
      <x:c r="E70" s="37" t="str">
        <x:v>MBR-0010</x:v>
      </x:c>
      <x:c r="F70" s="63" t="str">
        <x:f>IFERROR(INDEX('02_MEMBERS'!$C$6:$C$105,MATCH(E70,'02_MEMBERS'!$B$6:$B$105,0)),"")</x:f>
        <x:v>Neha Shahi</x:v>
      </x:c>
      <x:c r="G70" s="63" t="str">
        <x:f>IFERROR(INDEX('03_CLASS_SCHEDULE'!$F$6:$F$105,MATCH(C70,'03_CLASS_SCHEDULE'!$B$6:$B$105,0)),"")</x:f>
        <x:v>Main Studio</x:v>
      </x:c>
      <x:c r="H70" s="63" t="str">
        <x:f>IFERROR(INDEX('03_CLASS_SCHEDULE'!$H$6:$H$105,MATCH(C70,'03_CLASS_SCHEDULE'!$B$6:$B$105,0)),"")</x:f>
        <x:v>Mat Pilates</x:v>
      </x:c>
      <x:c r="I70" s="63" t="str">
        <x:f>IFERROR(INDEX('03_CLASS_SCHEDULE'!$K$6:$K$105,MATCH(C70,'03_CLASS_SCHEDULE'!$B$6:$B$105,0)),"")</x:f>
        <x:v>Maya Gurung</x:v>
      </x:c>
      <x:c r="J70" s="37" t="str">
        <x:v>Booked</x:v>
      </x:c>
      <x:c r="K70" s="37" t="str">
        <x:v>Attended</x:v>
      </x:c>
      <x:c r="L70" s="72" t="n">
        <x:v>0.2881944444444444</x:v>
      </x:c>
      <x:c r="M70" s="59" t="n">
        <x:f>IF(OR(K70="Attended",K70="Late"),1,0)</x:f>
        <x:v>1</x:v>
      </x:c>
      <x:c r="N70" s="37" t="n">
        <x:v>5</x:v>
      </x:c>
      <x:c r="O70" s="37" t="str">
        <x:v>Demo attendance</x:v>
      </x:c>
    </x:row>
    <x:row r="71">
      <x:c r="A71" s="37" t="str">
        <x:v>DEMO</x:v>
      </x:c>
      <x:c r="B71" s="59" t="str">
        <x:f>IF(OR(C71="",E71=""),"","ATT-"&amp;TEXT(ROW()-5,"00000"))</x:f>
        <x:v>ATT-00066</x:v>
      </x:c>
      <x:c r="C71" s="37" t="str">
        <x:v>CLS-260413-0015</x:v>
      </x:c>
      <x:c r="D71" s="74" t="n">
        <x:f>IFERROR(INDEX('03_CLASS_SCHEDULE'!$C$6:$C$105,MATCH(C71,'03_CLASS_SCHEDULE'!$B$6:$B$105,0)),"")</x:f>
        <x:v>46125</x:v>
      </x:c>
      <x:c r="E71" s="37" t="str">
        <x:v>MBR-0011</x:v>
      </x:c>
      <x:c r="F71" s="63" t="str">
        <x:f>IFERROR(INDEX('02_MEMBERS'!$C$6:$C$105,MATCH(E71,'02_MEMBERS'!$B$6:$B$105,0)),"")</x:f>
        <x:v>Puja Tamang</x:v>
      </x:c>
      <x:c r="G71" s="63" t="str">
        <x:f>IFERROR(INDEX('03_CLASS_SCHEDULE'!$F$6:$F$105,MATCH(C71,'03_CLASS_SCHEDULE'!$B$6:$B$105,0)),"")</x:f>
        <x:v>Main Studio</x:v>
      </x:c>
      <x:c r="H71" s="63" t="str">
        <x:f>IFERROR(INDEX('03_CLASS_SCHEDULE'!$H$6:$H$105,MATCH(C71,'03_CLASS_SCHEDULE'!$B$6:$B$105,0)),"")</x:f>
        <x:v>Mat Pilates</x:v>
      </x:c>
      <x:c r="I71" s="63" t="str">
        <x:f>IFERROR(INDEX('03_CLASS_SCHEDULE'!$K$6:$K$105,MATCH(C71,'03_CLASS_SCHEDULE'!$B$6:$B$105,0)),"")</x:f>
        <x:v>Maya Gurung</x:v>
      </x:c>
      <x:c r="J71" s="37" t="str">
        <x:v>Booked</x:v>
      </x:c>
      <x:c r="K71" s="37" t="str">
        <x:v>Attended</x:v>
      </x:c>
      <x:c r="L71" s="72" t="n">
        <x:v>0.2881944444444444</x:v>
      </x:c>
      <x:c r="M71" s="59" t="n">
        <x:f>IF(OR(K71="Attended",K71="Late"),1,0)</x:f>
        <x:v>1</x:v>
      </x:c>
      <x:c r="N71" s="37" t="n">
        <x:v>4</x:v>
      </x:c>
      <x:c r="O71" s="37" t="str">
        <x:v>Demo attendance</x:v>
      </x:c>
    </x:row>
    <x:row r="72">
      <x:c r="A72" s="37" t="str">
        <x:v>DEMO</x:v>
      </x:c>
      <x:c r="B72" s="59" t="str">
        <x:f>IF(OR(C72="",E72=""),"","ATT-"&amp;TEXT(ROW()-5,"00000"))</x:f>
        <x:v>ATT-00067</x:v>
      </x:c>
      <x:c r="C72" s="37" t="str">
        <x:v>CLS-260420-0016</x:v>
      </x:c>
      <x:c r="D72" s="74" t="n">
        <x:f>IFERROR(INDEX('03_CLASS_SCHEDULE'!$C$6:$C$105,MATCH(C72,'03_CLASS_SCHEDULE'!$B$6:$B$105,0)),"")</x:f>
        <x:v>46132</x:v>
      </x:c>
      <x:c r="E72" s="37" t="str">
        <x:v>MBR-0008</x:v>
      </x:c>
      <x:c r="F72" s="63" t="str">
        <x:f>IFERROR(INDEX('02_MEMBERS'!$C$6:$C$105,MATCH(E72,'02_MEMBERS'!$B$6:$B$105,0)),"")</x:f>
        <x:v>Roshni Lama</x:v>
      </x:c>
      <x:c r="G72" s="63" t="str">
        <x:f>IFERROR(INDEX('03_CLASS_SCHEDULE'!$F$6:$F$105,MATCH(C72,'03_CLASS_SCHEDULE'!$B$6:$B$105,0)),"")</x:f>
        <x:v>Main Studio</x:v>
      </x:c>
      <x:c r="H72" s="63" t="str">
        <x:f>IFERROR(INDEX('03_CLASS_SCHEDULE'!$H$6:$H$105,MATCH(C72,'03_CLASS_SCHEDULE'!$B$6:$B$105,0)),"")</x:f>
        <x:v>Reformer Beginner</x:v>
      </x:c>
      <x:c r="I72" s="63" t="str">
        <x:f>IFERROR(INDEX('03_CLASS_SCHEDULE'!$K$6:$K$105,MATCH(C72,'03_CLASS_SCHEDULE'!$B$6:$B$105,0)),"")</x:f>
        <x:v>Riya Thapa</x:v>
      </x:c>
      <x:c r="J72" s="37" t="str">
        <x:v>Booked</x:v>
      </x:c>
      <x:c r="K72" s="37" t="str">
        <x:v>Attended</x:v>
      </x:c>
      <x:c r="L72" s="72" t="n">
        <x:v>0.2881944444444444</x:v>
      </x:c>
      <x:c r="M72" s="59" t="n">
        <x:f>IF(OR(K72="Attended",K72="Late"),1,0)</x:f>
        <x:v>1</x:v>
      </x:c>
      <x:c r="N72" s="37" t="n">
        <x:v>4</x:v>
      </x:c>
      <x:c r="O72" s="37" t="str">
        <x:v>Demo attendance</x:v>
      </x:c>
    </x:row>
    <x:row r="73">
      <x:c r="A73" s="37" t="str">
        <x:v>DEMO</x:v>
      </x:c>
      <x:c r="B73" s="59" t="str">
        <x:f>IF(OR(C73="",E73=""),"","ATT-"&amp;TEXT(ROW()-5,"00000"))</x:f>
        <x:v>ATT-00068</x:v>
      </x:c>
      <x:c r="C73" s="37" t="str">
        <x:v>CLS-260420-0016</x:v>
      </x:c>
      <x:c r="D73" s="74" t="n">
        <x:f>IFERROR(INDEX('03_CLASS_SCHEDULE'!$C$6:$C$105,MATCH(C73,'03_CLASS_SCHEDULE'!$B$6:$B$105,0)),"")</x:f>
        <x:v>46132</x:v>
      </x:c>
      <x:c r="E73" s="37" t="str">
        <x:v>MBR-0009</x:v>
      </x:c>
      <x:c r="F73" s="63" t="str">
        <x:f>IFERROR(INDEX('02_MEMBERS'!$C$6:$C$105,MATCH(E73,'02_MEMBERS'!$B$6:$B$105,0)),"")</x:f>
        <x:v>Kritika Poudel</x:v>
      </x:c>
      <x:c r="G73" s="63" t="str">
        <x:f>IFERROR(INDEX('03_CLASS_SCHEDULE'!$F$6:$F$105,MATCH(C73,'03_CLASS_SCHEDULE'!$B$6:$B$105,0)),"")</x:f>
        <x:v>Main Studio</x:v>
      </x:c>
      <x:c r="H73" s="63" t="str">
        <x:f>IFERROR(INDEX('03_CLASS_SCHEDULE'!$H$6:$H$105,MATCH(C73,'03_CLASS_SCHEDULE'!$B$6:$B$105,0)),"")</x:f>
        <x:v>Reformer Beginner</x:v>
      </x:c>
      <x:c r="I73" s="63" t="str">
        <x:f>IFERROR(INDEX('03_CLASS_SCHEDULE'!$K$6:$K$105,MATCH(C73,'03_CLASS_SCHEDULE'!$B$6:$B$105,0)),"")</x:f>
        <x:v>Riya Thapa</x:v>
      </x:c>
      <x:c r="J73" s="37" t="str">
        <x:v>Booked</x:v>
      </x:c>
      <x:c r="K73" s="37" t="str">
        <x:v>Attended</x:v>
      </x:c>
      <x:c r="L73" s="72" t="n">
        <x:v>0.2881944444444444</x:v>
      </x:c>
      <x:c r="M73" s="59" t="n">
        <x:f>IF(OR(K73="Attended",K73="Late"),1,0)</x:f>
        <x:v>1</x:v>
      </x:c>
      <x:c r="N73" s="37" t="n">
        <x:v>5</x:v>
      </x:c>
      <x:c r="O73" s="37" t="str">
        <x:v>Demo attendance</x:v>
      </x:c>
    </x:row>
    <x:row r="74">
      <x:c r="A74" s="37" t="str">
        <x:v>DEMO</x:v>
      </x:c>
      <x:c r="B74" s="59" t="str">
        <x:f>IF(OR(C74="",E74=""),"","ATT-"&amp;TEXT(ROW()-5,"00000"))</x:f>
        <x:v>ATT-00069</x:v>
      </x:c>
      <x:c r="C74" s="37" t="str">
        <x:v>CLS-260420-0016</x:v>
      </x:c>
      <x:c r="D74" s="74" t="n">
        <x:f>IFERROR(INDEX('03_CLASS_SCHEDULE'!$C$6:$C$105,MATCH(C74,'03_CLASS_SCHEDULE'!$B$6:$B$105,0)),"")</x:f>
        <x:v>46132</x:v>
      </x:c>
      <x:c r="E74" s="37" t="str">
        <x:v>MBR-0010</x:v>
      </x:c>
      <x:c r="F74" s="63" t="str">
        <x:f>IFERROR(INDEX('02_MEMBERS'!$C$6:$C$105,MATCH(E74,'02_MEMBERS'!$B$6:$B$105,0)),"")</x:f>
        <x:v>Neha Shahi</x:v>
      </x:c>
      <x:c r="G74" s="63" t="str">
        <x:f>IFERROR(INDEX('03_CLASS_SCHEDULE'!$F$6:$F$105,MATCH(C74,'03_CLASS_SCHEDULE'!$B$6:$B$105,0)),"")</x:f>
        <x:v>Main Studio</x:v>
      </x:c>
      <x:c r="H74" s="63" t="str">
        <x:f>IFERROR(INDEX('03_CLASS_SCHEDULE'!$H$6:$H$105,MATCH(C74,'03_CLASS_SCHEDULE'!$B$6:$B$105,0)),"")</x:f>
        <x:v>Reformer Beginner</x:v>
      </x:c>
      <x:c r="I74" s="63" t="str">
        <x:f>IFERROR(INDEX('03_CLASS_SCHEDULE'!$K$6:$K$105,MATCH(C74,'03_CLASS_SCHEDULE'!$B$6:$B$105,0)),"")</x:f>
        <x:v>Riya Thapa</x:v>
      </x:c>
      <x:c r="J74" s="37" t="str">
        <x:v>Booked</x:v>
      </x:c>
      <x:c r="K74" s="37" t="str">
        <x:v>Attended</x:v>
      </x:c>
      <x:c r="L74" s="72" t="n">
        <x:v>0.2881944444444444</x:v>
      </x:c>
      <x:c r="M74" s="59" t="n">
        <x:f>IF(OR(K74="Attended",K74="Late"),1,0)</x:f>
        <x:v>1</x:v>
      </x:c>
      <x:c r="N74" s="37" t="n">
        <x:v>4</x:v>
      </x:c>
      <x:c r="O74" s="37" t="str">
        <x:v>Demo attendance</x:v>
      </x:c>
    </x:row>
    <x:row r="75">
      <x:c r="A75" s="37" t="str">
        <x:v>DEMO</x:v>
      </x:c>
      <x:c r="B75" s="59" t="str">
        <x:f>IF(OR(C75="",E75=""),"","ATT-"&amp;TEXT(ROW()-5,"00000"))</x:f>
        <x:v>ATT-00070</x:v>
      </x:c>
      <x:c r="C75" s="37" t="str">
        <x:v>CLS-260420-0016</x:v>
      </x:c>
      <x:c r="D75" s="74" t="n">
        <x:f>IFERROR(INDEX('03_CLASS_SCHEDULE'!$C$6:$C$105,MATCH(C75,'03_CLASS_SCHEDULE'!$B$6:$B$105,0)),"")</x:f>
        <x:v>46132</x:v>
      </x:c>
      <x:c r="E75" s="37" t="str">
        <x:v>MBR-0011</x:v>
      </x:c>
      <x:c r="F75" s="63" t="str">
        <x:f>IFERROR(INDEX('02_MEMBERS'!$C$6:$C$105,MATCH(E75,'02_MEMBERS'!$B$6:$B$105,0)),"")</x:f>
        <x:v>Puja Tamang</x:v>
      </x:c>
      <x:c r="G75" s="63" t="str">
        <x:f>IFERROR(INDEX('03_CLASS_SCHEDULE'!$F$6:$F$105,MATCH(C75,'03_CLASS_SCHEDULE'!$B$6:$B$105,0)),"")</x:f>
        <x:v>Main Studio</x:v>
      </x:c>
      <x:c r="H75" s="63" t="str">
        <x:f>IFERROR(INDEX('03_CLASS_SCHEDULE'!$H$6:$H$105,MATCH(C75,'03_CLASS_SCHEDULE'!$B$6:$B$105,0)),"")</x:f>
        <x:v>Reformer Beginner</x:v>
      </x:c>
      <x:c r="I75" s="63" t="str">
        <x:f>IFERROR(INDEX('03_CLASS_SCHEDULE'!$K$6:$K$105,MATCH(C75,'03_CLASS_SCHEDULE'!$B$6:$B$105,0)),"")</x:f>
        <x:v>Riya Thapa</x:v>
      </x:c>
      <x:c r="J75" s="37" t="str">
        <x:v>Booked</x:v>
      </x:c>
      <x:c r="K75" s="37" t="str">
        <x:v>Attended</x:v>
      </x:c>
      <x:c r="L75" s="72" t="n">
        <x:v>0.2881944444444444</x:v>
      </x:c>
      <x:c r="M75" s="59" t="n">
        <x:f>IF(OR(K75="Attended",K75="Late"),1,0)</x:f>
        <x:v>1</x:v>
      </x:c>
      <x:c r="N75" s="37" t="n">
        <x:v>5</x:v>
      </x:c>
      <x:c r="O75" s="37" t="str">
        <x:v>Demo attendance</x:v>
      </x:c>
    </x:row>
    <x:row r="76">
      <x:c r="A76" s="37" t="str">
        <x:v>DEMO</x:v>
      </x:c>
      <x:c r="B76" s="59" t="str">
        <x:f>IF(OR(C76="",E76=""),"","ATT-"&amp;TEXT(ROW()-5,"00000"))</x:f>
        <x:v>ATT-00071</x:v>
      </x:c>
      <x:c r="C76" s="37" t="str">
        <x:v>CLS-260420-0016</x:v>
      </x:c>
      <x:c r="D76" s="74" t="n">
        <x:f>IFERROR(INDEX('03_CLASS_SCHEDULE'!$C$6:$C$105,MATCH(C76,'03_CLASS_SCHEDULE'!$B$6:$B$105,0)),"")</x:f>
        <x:v>46132</x:v>
      </x:c>
      <x:c r="E76" s="37" t="str">
        <x:v>MBR-0012</x:v>
      </x:c>
      <x:c r="F76" s="63" t="str">
        <x:f>IFERROR(INDEX('02_MEMBERS'!$C$6:$C$105,MATCH(E76,'02_MEMBERS'!$B$6:$B$105,0)),"")</x:f>
        <x:v>Sushma Adhikari</x:v>
      </x:c>
      <x:c r="G76" s="63" t="str">
        <x:f>IFERROR(INDEX('03_CLASS_SCHEDULE'!$F$6:$F$105,MATCH(C76,'03_CLASS_SCHEDULE'!$B$6:$B$105,0)),"")</x:f>
        <x:v>Main Studio</x:v>
      </x:c>
      <x:c r="H76" s="63" t="str">
        <x:f>IFERROR(INDEX('03_CLASS_SCHEDULE'!$H$6:$H$105,MATCH(C76,'03_CLASS_SCHEDULE'!$B$6:$B$105,0)),"")</x:f>
        <x:v>Reformer Beginner</x:v>
      </x:c>
      <x:c r="I76" s="63" t="str">
        <x:f>IFERROR(INDEX('03_CLASS_SCHEDULE'!$K$6:$K$105,MATCH(C76,'03_CLASS_SCHEDULE'!$B$6:$B$105,0)),"")</x:f>
        <x:v>Riya Thapa</x:v>
      </x:c>
      <x:c r="J76" s="37" t="str">
        <x:v>Booked</x:v>
      </x:c>
      <x:c r="K76" s="37" t="str">
        <x:v>Attended</x:v>
      </x:c>
      <x:c r="L76" s="72" t="n">
        <x:v>0.2881944444444444</x:v>
      </x:c>
      <x:c r="M76" s="59" t="n">
        <x:f>IF(OR(K76="Attended",K76="Late"),1,0)</x:f>
        <x:v>1</x:v>
      </x:c>
      <x:c r="N76" s="37" t="n">
        <x:v>4</x:v>
      </x:c>
      <x:c r="O76" s="37" t="str">
        <x:v>Demo attendance</x:v>
      </x:c>
    </x:row>
    <x:row r="77">
      <x:c r="A77" s="37" t="str">
        <x:v>DEMO</x:v>
      </x:c>
      <x:c r="B77" s="59" t="str">
        <x:f>IF(OR(C77="",E77=""),"","ATT-"&amp;TEXT(ROW()-5,"00000"))</x:f>
        <x:v>ATT-00072</x:v>
      </x:c>
      <x:c r="C77" s="37" t="str">
        <x:v>CLS-260420-0016</x:v>
      </x:c>
      <x:c r="D77" s="74" t="n">
        <x:f>IFERROR(INDEX('03_CLASS_SCHEDULE'!$C$6:$C$105,MATCH(C77,'03_CLASS_SCHEDULE'!$B$6:$B$105,0)),"")</x:f>
        <x:v>46132</x:v>
      </x:c>
      <x:c r="E77" s="37" t="str">
        <x:v>MBR-0013</x:v>
      </x:c>
      <x:c r="F77" s="63" t="str">
        <x:f>IFERROR(INDEX('02_MEMBERS'!$C$6:$C$105,MATCH(E77,'02_MEMBERS'!$B$6:$B$105,0)),"")</x:f>
      </x:c>
      <x:c r="G77" s="63" t="str">
        <x:f>IFERROR(INDEX('03_CLASS_SCHEDULE'!$F$6:$F$105,MATCH(C77,'03_CLASS_SCHEDULE'!$B$6:$B$105,0)),"")</x:f>
        <x:v>Main Studio</x:v>
      </x:c>
      <x:c r="H77" s="63" t="str">
        <x:f>IFERROR(INDEX('03_CLASS_SCHEDULE'!$H$6:$H$105,MATCH(C77,'03_CLASS_SCHEDULE'!$B$6:$B$105,0)),"")</x:f>
        <x:v>Reformer Beginner</x:v>
      </x:c>
      <x:c r="I77" s="63" t="str">
        <x:f>IFERROR(INDEX('03_CLASS_SCHEDULE'!$K$6:$K$105,MATCH(C77,'03_CLASS_SCHEDULE'!$B$6:$B$105,0)),"")</x:f>
        <x:v>Riya Thapa</x:v>
      </x:c>
      <x:c r="J77" s="37" t="str">
        <x:v>Booked</x:v>
      </x:c>
      <x:c r="K77" s="37" t="str">
        <x:v>Attended</x:v>
      </x:c>
      <x:c r="L77" s="72" t="n">
        <x:v>0.2881944444444444</x:v>
      </x:c>
      <x:c r="M77" s="59" t="n">
        <x:f>IF(OR(K77="Attended",K77="Late"),1,0)</x:f>
        <x:v>1</x:v>
      </x:c>
      <x:c r="N77" s="37" t="n">
        <x:v>5</x:v>
      </x:c>
      <x:c r="O77" s="37" t="str">
        <x:v>Demo attendance</x:v>
      </x:c>
    </x:row>
    <x:row r="78">
      <x:c r="A78" s="37" t="str">
        <x:v>DEMO</x:v>
      </x:c>
      <x:c r="B78" s="59" t="str">
        <x:f>IF(OR(C78="",E78=""),"","ATT-"&amp;TEXT(ROW()-5,"00000"))</x:f>
        <x:v>ATT-00073</x:v>
      </x:c>
      <x:c r="C78" s="37" t="str">
        <x:v>CLS-260427-0017</x:v>
      </x:c>
      <x:c r="D78" s="74" t="n">
        <x:f>IFERROR(INDEX('03_CLASS_SCHEDULE'!$C$6:$C$105,MATCH(C78,'03_CLASS_SCHEDULE'!$B$6:$B$105,0)),"")</x:f>
        <x:v>46139</x:v>
      </x:c>
      <x:c r="E78" s="37" t="str">
        <x:v>MBR-0001</x:v>
      </x:c>
      <x:c r="F78" s="63" t="str">
        <x:f>IFERROR(INDEX('02_MEMBERS'!$C$6:$C$105,MATCH(E78,'02_MEMBERS'!$B$6:$B$105,0)),"")</x:f>
        <x:v>Aarati Karki</x:v>
      </x:c>
      <x:c r="G78" s="63" t="str">
        <x:f>IFERROR(INDEX('03_CLASS_SCHEDULE'!$F$6:$F$105,MATCH(C78,'03_CLASS_SCHEDULE'!$B$6:$B$105,0)),"")</x:f>
        <x:v>Main Studio</x:v>
      </x:c>
      <x:c r="H78" s="63" t="str">
        <x:f>IFERROR(INDEX('03_CLASS_SCHEDULE'!$H$6:$H$105,MATCH(C78,'03_CLASS_SCHEDULE'!$B$6:$B$105,0)),"")</x:f>
        <x:v>Reformer Intermediate</x:v>
      </x:c>
      <x:c r="I78" s="63" t="str">
        <x:f>IFERROR(INDEX('03_CLASS_SCHEDULE'!$K$6:$K$105,MATCH(C78,'03_CLASS_SCHEDULE'!$B$6:$B$105,0)),"")</x:f>
        <x:v>Maya Gurung</x:v>
      </x:c>
      <x:c r="J78" s="37" t="str">
        <x:v>Booked</x:v>
      </x:c>
      <x:c r="K78" s="37" t="str">
        <x:v>Attended</x:v>
      </x:c>
      <x:c r="L78" s="72" t="n">
        <x:v>0.2881944444444444</x:v>
      </x:c>
      <x:c r="M78" s="59" t="n">
        <x:f>IF(OR(K78="Attended",K78="Late"),1,0)</x:f>
        <x:v>1</x:v>
      </x:c>
      <x:c r="N78" s="37" t="n">
        <x:v>4</x:v>
      </x:c>
      <x:c r="O78" s="37" t="str">
        <x:v>Demo attendance</x:v>
      </x:c>
    </x:row>
    <x:row r="79">
      <x:c r="A79" s="37" t="str">
        <x:v>DEMO</x:v>
      </x:c>
      <x:c r="B79" s="59" t="str">
        <x:f>IF(OR(C79="",E79=""),"","ATT-"&amp;TEXT(ROW()-5,"00000"))</x:f>
        <x:v>ATT-00074</x:v>
      </x:c>
      <x:c r="C79" s="37" t="str">
        <x:v>CLS-260427-0017</x:v>
      </x:c>
      <x:c r="D79" s="74" t="n">
        <x:f>IFERROR(INDEX('03_CLASS_SCHEDULE'!$C$6:$C$105,MATCH(C79,'03_CLASS_SCHEDULE'!$B$6:$B$105,0)),"")</x:f>
        <x:v>46139</x:v>
      </x:c>
      <x:c r="E79" s="37" t="str">
        <x:v>MBR-0002</x:v>
      </x:c>
      <x:c r="F79" s="63" t="str">
        <x:f>IFERROR(INDEX('02_MEMBERS'!$C$6:$C$105,MATCH(E79,'02_MEMBERS'!$B$6:$B$105,0)),"")</x:f>
        <x:v>Sneha Joshi</x:v>
      </x:c>
      <x:c r="G79" s="63" t="str">
        <x:f>IFERROR(INDEX('03_CLASS_SCHEDULE'!$F$6:$F$105,MATCH(C79,'03_CLASS_SCHEDULE'!$B$6:$B$105,0)),"")</x:f>
        <x:v>Main Studio</x:v>
      </x:c>
      <x:c r="H79" s="63" t="str">
        <x:f>IFERROR(INDEX('03_CLASS_SCHEDULE'!$H$6:$H$105,MATCH(C79,'03_CLASS_SCHEDULE'!$B$6:$B$105,0)),"")</x:f>
        <x:v>Reformer Intermediate</x:v>
      </x:c>
      <x:c r="I79" s="63" t="str">
        <x:f>IFERROR(INDEX('03_CLASS_SCHEDULE'!$K$6:$K$105,MATCH(C79,'03_CLASS_SCHEDULE'!$B$6:$B$105,0)),"")</x:f>
        <x:v>Maya Gurung</x:v>
      </x:c>
      <x:c r="J79" s="37" t="str">
        <x:v>Booked</x:v>
      </x:c>
      <x:c r="K79" s="37" t="str">
        <x:v>Attended</x:v>
      </x:c>
      <x:c r="L79" s="72" t="n">
        <x:v>0.2881944444444444</x:v>
      </x:c>
      <x:c r="M79" s="59" t="n">
        <x:f>IF(OR(K79="Attended",K79="Late"),1,0)</x:f>
        <x:v>1</x:v>
      </x:c>
      <x:c r="N79" s="37" t="n">
        <x:v>5</x:v>
      </x:c>
      <x:c r="O79" s="37" t="str">
        <x:v>Demo attendance</x:v>
      </x:c>
    </x:row>
    <x:row r="80">
      <x:c r="A80" s="37" t="str">
        <x:v>DEMO</x:v>
      </x:c>
      <x:c r="B80" s="59" t="str">
        <x:f>IF(OR(C80="",E80=""),"","ATT-"&amp;TEXT(ROW()-5,"00000"))</x:f>
        <x:v>ATT-00075</x:v>
      </x:c>
      <x:c r="C80" s="37" t="str">
        <x:v>CLS-260427-0017</x:v>
      </x:c>
      <x:c r="D80" s="74" t="n">
        <x:f>IFERROR(INDEX('03_CLASS_SCHEDULE'!$C$6:$C$105,MATCH(C80,'03_CLASS_SCHEDULE'!$B$6:$B$105,0)),"")</x:f>
        <x:v>46139</x:v>
      </x:c>
      <x:c r="E80" s="37" t="str">
        <x:v>MBR-0003</x:v>
      </x:c>
      <x:c r="F80" s="63" t="str">
        <x:f>IFERROR(INDEX('02_MEMBERS'!$C$6:$C$105,MATCH(E80,'02_MEMBERS'!$B$6:$B$105,0)),"")</x:f>
        <x:v>Prerana Shrestha</x:v>
      </x:c>
      <x:c r="G80" s="63" t="str">
        <x:f>IFERROR(INDEX('03_CLASS_SCHEDULE'!$F$6:$F$105,MATCH(C80,'03_CLASS_SCHEDULE'!$B$6:$B$105,0)),"")</x:f>
        <x:v>Main Studio</x:v>
      </x:c>
      <x:c r="H80" s="63" t="str">
        <x:f>IFERROR(INDEX('03_CLASS_SCHEDULE'!$H$6:$H$105,MATCH(C80,'03_CLASS_SCHEDULE'!$B$6:$B$105,0)),"")</x:f>
        <x:v>Reformer Intermediate</x:v>
      </x:c>
      <x:c r="I80" s="63" t="str">
        <x:f>IFERROR(INDEX('03_CLASS_SCHEDULE'!$K$6:$K$105,MATCH(C80,'03_CLASS_SCHEDULE'!$B$6:$B$105,0)),"")</x:f>
        <x:v>Maya Gurung</x:v>
      </x:c>
      <x:c r="J80" s="37" t="str">
        <x:v>Booked</x:v>
      </x:c>
      <x:c r="K80" s="37" t="str">
        <x:v>Attended</x:v>
      </x:c>
      <x:c r="L80" s="72" t="n">
        <x:v>0.2881944444444444</x:v>
      </x:c>
      <x:c r="M80" s="59" t="n">
        <x:f>IF(OR(K80="Attended",K80="Late"),1,0)</x:f>
        <x:v>1</x:v>
      </x:c>
      <x:c r="N80" s="37" t="n">
        <x:v>4</x:v>
      </x:c>
      <x:c r="O80" s="37" t="str">
        <x:v>Demo attendance</x:v>
      </x:c>
    </x:row>
    <x:row r="81">
      <x:c r="A81" s="37" t="str">
        <x:v>DEMO</x:v>
      </x:c>
      <x:c r="B81" s="59" t="str">
        <x:f>IF(OR(C81="",E81=""),"","ATT-"&amp;TEXT(ROW()-5,"00000"))</x:f>
        <x:v>ATT-00076</x:v>
      </x:c>
      <x:c r="C81" s="37" t="str">
        <x:v>CLS-260504-0018</x:v>
      </x:c>
      <x:c r="D81" s="74" t="n">
        <x:f>IFERROR(INDEX('03_CLASS_SCHEDULE'!$C$6:$C$105,MATCH(C81,'03_CLASS_SCHEDULE'!$B$6:$B$105,0)),"")</x:f>
        <x:v>46146</x:v>
      </x:c>
      <x:c r="E81" s="37" t="str">
        <x:v>MBR-0002</x:v>
      </x:c>
      <x:c r="F81" s="63" t="str">
        <x:f>IFERROR(INDEX('02_MEMBERS'!$C$6:$C$105,MATCH(E81,'02_MEMBERS'!$B$6:$B$105,0)),"")</x:f>
        <x:v>Sneha Joshi</x:v>
      </x:c>
      <x:c r="G81" s="63" t="str">
        <x:f>IFERROR(INDEX('03_CLASS_SCHEDULE'!$F$6:$F$105,MATCH(C81,'03_CLASS_SCHEDULE'!$B$6:$B$105,0)),"")</x:f>
        <x:v>Main Studio</x:v>
      </x:c>
      <x:c r="H81" s="63" t="str">
        <x:f>IFERROR(INDEX('03_CLASS_SCHEDULE'!$H$6:$H$105,MATCH(C81,'03_CLASS_SCHEDULE'!$B$6:$B$105,0)),"")</x:f>
        <x:v>Mat Pilates</x:v>
      </x:c>
      <x:c r="I81" s="63" t="str">
        <x:f>IFERROR(INDEX('03_CLASS_SCHEDULE'!$K$6:$K$105,MATCH(C81,'03_CLASS_SCHEDULE'!$B$6:$B$105,0)),"")</x:f>
        <x:v>Riya Thapa</x:v>
      </x:c>
      <x:c r="J81" s="37" t="str">
        <x:v>Booked</x:v>
      </x:c>
      <x:c r="K81" s="37" t="str">
        <x:v>Attended</x:v>
      </x:c>
      <x:c r="L81" s="72" t="n">
        <x:v>0.2881944444444444</x:v>
      </x:c>
      <x:c r="M81" s="59" t="n">
        <x:f>IF(OR(K81="Attended",K81="Late"),1,0)</x:f>
        <x:v>1</x:v>
      </x:c>
      <x:c r="N81" s="37" t="n">
        <x:v>4</x:v>
      </x:c>
      <x:c r="O81" s="37" t="str">
        <x:v>Demo attendance</x:v>
      </x:c>
    </x:row>
    <x:row r="82">
      <x:c r="A82" s="37" t="str">
        <x:v>DEMO</x:v>
      </x:c>
      <x:c r="B82" s="59" t="str">
        <x:f>IF(OR(C82="",E82=""),"","ATT-"&amp;TEXT(ROW()-5,"00000"))</x:f>
        <x:v>ATT-00077</x:v>
      </x:c>
      <x:c r="C82" s="37" t="str">
        <x:v>CLS-260504-0018</x:v>
      </x:c>
      <x:c r="D82" s="74" t="n">
        <x:f>IFERROR(INDEX('03_CLASS_SCHEDULE'!$C$6:$C$105,MATCH(C82,'03_CLASS_SCHEDULE'!$B$6:$B$105,0)),"")</x:f>
        <x:v>46146</x:v>
      </x:c>
      <x:c r="E82" s="37" t="str">
        <x:v>MBR-0003</x:v>
      </x:c>
      <x:c r="F82" s="63" t="str">
        <x:f>IFERROR(INDEX('02_MEMBERS'!$C$6:$C$105,MATCH(E82,'02_MEMBERS'!$B$6:$B$105,0)),"")</x:f>
        <x:v>Prerana Shrestha</x:v>
      </x:c>
      <x:c r="G82" s="63" t="str">
        <x:f>IFERROR(INDEX('03_CLASS_SCHEDULE'!$F$6:$F$105,MATCH(C82,'03_CLASS_SCHEDULE'!$B$6:$B$105,0)),"")</x:f>
        <x:v>Main Studio</x:v>
      </x:c>
      <x:c r="H82" s="63" t="str">
        <x:f>IFERROR(INDEX('03_CLASS_SCHEDULE'!$H$6:$H$105,MATCH(C82,'03_CLASS_SCHEDULE'!$B$6:$B$105,0)),"")</x:f>
        <x:v>Mat Pilates</x:v>
      </x:c>
      <x:c r="I82" s="63" t="str">
        <x:f>IFERROR(INDEX('03_CLASS_SCHEDULE'!$K$6:$K$105,MATCH(C82,'03_CLASS_SCHEDULE'!$B$6:$B$105,0)),"")</x:f>
        <x:v>Riya Thapa</x:v>
      </x:c>
      <x:c r="J82" s="37" t="str">
        <x:v>Booked</x:v>
      </x:c>
      <x:c r="K82" s="37" t="str">
        <x:v>Attended</x:v>
      </x:c>
      <x:c r="L82" s="72" t="n">
        <x:v>0.2881944444444444</x:v>
      </x:c>
      <x:c r="M82" s="59" t="n">
        <x:f>IF(OR(K82="Attended",K82="Late"),1,0)</x:f>
        <x:v>1</x:v>
      </x:c>
      <x:c r="N82" s="37" t="n">
        <x:v>5</x:v>
      </x:c>
      <x:c r="O82" s="37" t="str">
        <x:v>Demo attendance</x:v>
      </x:c>
    </x:row>
    <x:row r="83">
      <x:c r="A83" s="37" t="str">
        <x:v>DEMO</x:v>
      </x:c>
      <x:c r="B83" s="59" t="str">
        <x:f>IF(OR(C83="",E83=""),"","ATT-"&amp;TEXT(ROW()-5,"00000"))</x:f>
        <x:v>ATT-00078</x:v>
      </x:c>
      <x:c r="C83" s="37" t="str">
        <x:v>CLS-260504-0018</x:v>
      </x:c>
      <x:c r="D83" s="74" t="n">
        <x:f>IFERROR(INDEX('03_CLASS_SCHEDULE'!$C$6:$C$105,MATCH(C83,'03_CLASS_SCHEDULE'!$B$6:$B$105,0)),"")</x:f>
        <x:v>46146</x:v>
      </x:c>
      <x:c r="E83" s="37" t="str">
        <x:v>MBR-0004</x:v>
      </x:c>
      <x:c r="F83" s="63" t="str">
        <x:f>IFERROR(INDEX('02_MEMBERS'!$C$6:$C$105,MATCH(E83,'02_MEMBERS'!$B$6:$B$105,0)),"")</x:f>
        <x:v>Nina Maharjan</x:v>
      </x:c>
      <x:c r="G83" s="63" t="str">
        <x:f>IFERROR(INDEX('03_CLASS_SCHEDULE'!$F$6:$F$105,MATCH(C83,'03_CLASS_SCHEDULE'!$B$6:$B$105,0)),"")</x:f>
        <x:v>Main Studio</x:v>
      </x:c>
      <x:c r="H83" s="63" t="str">
        <x:f>IFERROR(INDEX('03_CLASS_SCHEDULE'!$H$6:$H$105,MATCH(C83,'03_CLASS_SCHEDULE'!$B$6:$B$105,0)),"")</x:f>
        <x:v>Mat Pilates</x:v>
      </x:c>
      <x:c r="I83" s="63" t="str">
        <x:f>IFERROR(INDEX('03_CLASS_SCHEDULE'!$K$6:$K$105,MATCH(C83,'03_CLASS_SCHEDULE'!$B$6:$B$105,0)),"")</x:f>
        <x:v>Riya Thapa</x:v>
      </x:c>
      <x:c r="J83" s="37" t="str">
        <x:v>Booked</x:v>
      </x:c>
      <x:c r="K83" s="37" t="str">
        <x:v>Attended</x:v>
      </x:c>
      <x:c r="L83" s="72" t="n">
        <x:v>0.2881944444444444</x:v>
      </x:c>
      <x:c r="M83" s="59" t="n">
        <x:f>IF(OR(K83="Attended",K83="Late"),1,0)</x:f>
        <x:v>1</x:v>
      </x:c>
      <x:c r="N83" s="37" t="n">
        <x:v>4</x:v>
      </x:c>
      <x:c r="O83" s="37" t="str">
        <x:v>Demo attendance</x:v>
      </x:c>
    </x:row>
    <x:row r="84">
      <x:c r="A84" s="37" t="str">
        <x:v>DEMO</x:v>
      </x:c>
      <x:c r="B84" s="59" t="str">
        <x:f>IF(OR(C84="",E84=""),"","ATT-"&amp;TEXT(ROW()-5,"00000"))</x:f>
        <x:v>ATT-00079</x:v>
      </x:c>
      <x:c r="C84" s="37" t="str">
        <x:v>CLS-260504-0018</x:v>
      </x:c>
      <x:c r="D84" s="74" t="n">
        <x:f>IFERROR(INDEX('03_CLASS_SCHEDULE'!$C$6:$C$105,MATCH(C84,'03_CLASS_SCHEDULE'!$B$6:$B$105,0)),"")</x:f>
        <x:v>46146</x:v>
      </x:c>
      <x:c r="E84" s="37" t="str">
        <x:v>MBR-0005</x:v>
      </x:c>
      <x:c r="F84" s="63" t="str">
        <x:f>IFERROR(INDEX('02_MEMBERS'!$C$6:$C$105,MATCH(E84,'02_MEMBERS'!$B$6:$B$105,0)),"")</x:f>
        <x:v>Samira Rana</x:v>
      </x:c>
      <x:c r="G84" s="63" t="str">
        <x:f>IFERROR(INDEX('03_CLASS_SCHEDULE'!$F$6:$F$105,MATCH(C84,'03_CLASS_SCHEDULE'!$B$6:$B$105,0)),"")</x:f>
        <x:v>Main Studio</x:v>
      </x:c>
      <x:c r="H84" s="63" t="str">
        <x:f>IFERROR(INDEX('03_CLASS_SCHEDULE'!$H$6:$H$105,MATCH(C84,'03_CLASS_SCHEDULE'!$B$6:$B$105,0)),"")</x:f>
        <x:v>Mat Pilates</x:v>
      </x:c>
      <x:c r="I84" s="63" t="str">
        <x:f>IFERROR(INDEX('03_CLASS_SCHEDULE'!$K$6:$K$105,MATCH(C84,'03_CLASS_SCHEDULE'!$B$6:$B$105,0)),"")</x:f>
        <x:v>Riya Thapa</x:v>
      </x:c>
      <x:c r="J84" s="37" t="str">
        <x:v>Booked</x:v>
      </x:c>
      <x:c r="K84" s="37" t="str">
        <x:v>Attended</x:v>
      </x:c>
      <x:c r="L84" s="72" t="n">
        <x:v>0.2881944444444444</x:v>
      </x:c>
      <x:c r="M84" s="59" t="n">
        <x:f>IF(OR(K84="Attended",K84="Late"),1,0)</x:f>
        <x:v>1</x:v>
      </x:c>
      <x:c r="N84" s="37" t="n">
        <x:v>5</x:v>
      </x:c>
      <x:c r="O84" s="37" t="str">
        <x:v>Demo attendance</x:v>
      </x:c>
    </x:row>
    <x:row r="85">
      <x:c r="A85" s="37" t="str">
        <x:v>DEMO</x:v>
      </x:c>
      <x:c r="B85" s="59" t="str">
        <x:f>IF(OR(C85="",E85=""),"","ATT-"&amp;TEXT(ROW()-5,"00000"))</x:f>
        <x:v>ATT-00080</x:v>
      </x:c>
      <x:c r="C85" s="37" t="str">
        <x:v>CLS-260511-0019</x:v>
      </x:c>
      <x:c r="D85" s="74" t="n">
        <x:f>IFERROR(INDEX('03_CLASS_SCHEDULE'!$C$6:$C$105,MATCH(C85,'03_CLASS_SCHEDULE'!$B$6:$B$105,0)),"")</x:f>
        <x:v>46153</x:v>
      </x:c>
      <x:c r="E85" s="37" t="str">
        <x:v>MBR-0003</x:v>
      </x:c>
      <x:c r="F85" s="63" t="str">
        <x:f>IFERROR(INDEX('02_MEMBERS'!$C$6:$C$105,MATCH(E85,'02_MEMBERS'!$B$6:$B$105,0)),"")</x:f>
        <x:v>Prerana Shrestha</x:v>
      </x:c>
      <x:c r="G85" s="63" t="str">
        <x:f>IFERROR(INDEX('03_CLASS_SCHEDULE'!$F$6:$F$105,MATCH(C85,'03_CLASS_SCHEDULE'!$B$6:$B$105,0)),"")</x:f>
        <x:v>Main Studio</x:v>
      </x:c>
      <x:c r="H85" s="63" t="str">
        <x:f>IFERROR(INDEX('03_CLASS_SCHEDULE'!$H$6:$H$105,MATCH(C85,'03_CLASS_SCHEDULE'!$B$6:$B$105,0)),"")</x:f>
        <x:v>Reformer Beginner</x:v>
      </x:c>
      <x:c r="I85" s="63" t="str">
        <x:f>IFERROR(INDEX('03_CLASS_SCHEDULE'!$K$6:$K$105,MATCH(C85,'03_CLASS_SCHEDULE'!$B$6:$B$105,0)),"")</x:f>
        <x:v>Maya Gurung</x:v>
      </x:c>
      <x:c r="J85" s="37" t="str">
        <x:v>Booked</x:v>
      </x:c>
      <x:c r="K85" s="37" t="str">
        <x:v>Attended</x:v>
      </x:c>
      <x:c r="L85" s="72" t="n">
        <x:v>0.2881944444444444</x:v>
      </x:c>
      <x:c r="M85" s="59" t="n">
        <x:f>IF(OR(K85="Attended",K85="Late"),1,0)</x:f>
        <x:v>1</x:v>
      </x:c>
      <x:c r="N85" s="37" t="n">
        <x:v>4</x:v>
      </x:c>
      <x:c r="O85" s="37" t="str">
        <x:v>Demo attendance</x:v>
      </x:c>
    </x:row>
    <x:row r="86">
      <x:c r="A86" s="37" t="str">
        <x:v>DEMO</x:v>
      </x:c>
      <x:c r="B86" s="59" t="str">
        <x:f>IF(OR(C86="",E86=""),"","ATT-"&amp;TEXT(ROW()-5,"00000"))</x:f>
        <x:v>ATT-00081</x:v>
      </x:c>
      <x:c r="C86" s="37" t="str">
        <x:v>CLS-260511-0019</x:v>
      </x:c>
      <x:c r="D86" s="74" t="n">
        <x:f>IFERROR(INDEX('03_CLASS_SCHEDULE'!$C$6:$C$105,MATCH(C86,'03_CLASS_SCHEDULE'!$B$6:$B$105,0)),"")</x:f>
        <x:v>46153</x:v>
      </x:c>
      <x:c r="E86" s="37" t="str">
        <x:v>MBR-0004</x:v>
      </x:c>
      <x:c r="F86" s="63" t="str">
        <x:f>IFERROR(INDEX('02_MEMBERS'!$C$6:$C$105,MATCH(E86,'02_MEMBERS'!$B$6:$B$105,0)),"")</x:f>
        <x:v>Nina Maharjan</x:v>
      </x:c>
      <x:c r="G86" s="63" t="str">
        <x:f>IFERROR(INDEX('03_CLASS_SCHEDULE'!$F$6:$F$105,MATCH(C86,'03_CLASS_SCHEDULE'!$B$6:$B$105,0)),"")</x:f>
        <x:v>Main Studio</x:v>
      </x:c>
      <x:c r="H86" s="63" t="str">
        <x:f>IFERROR(INDEX('03_CLASS_SCHEDULE'!$H$6:$H$105,MATCH(C86,'03_CLASS_SCHEDULE'!$B$6:$B$105,0)),"")</x:f>
        <x:v>Reformer Beginner</x:v>
      </x:c>
      <x:c r="I86" s="63" t="str">
        <x:f>IFERROR(INDEX('03_CLASS_SCHEDULE'!$K$6:$K$105,MATCH(C86,'03_CLASS_SCHEDULE'!$B$6:$B$105,0)),"")</x:f>
        <x:v>Maya Gurung</x:v>
      </x:c>
      <x:c r="J86" s="37" t="str">
        <x:v>Booked</x:v>
      </x:c>
      <x:c r="K86" s="37" t="str">
        <x:v>Attended</x:v>
      </x:c>
      <x:c r="L86" s="72" t="n">
        <x:v>0.2881944444444444</x:v>
      </x:c>
      <x:c r="M86" s="59" t="n">
        <x:f>IF(OR(K86="Attended",K86="Late"),1,0)</x:f>
        <x:v>1</x:v>
      </x:c>
      <x:c r="N86" s="37" t="n">
        <x:v>5</x:v>
      </x:c>
      <x:c r="O86" s="37" t="str">
        <x:v>Demo attendance</x:v>
      </x:c>
    </x:row>
    <x:row r="87">
      <x:c r="A87" s="37" t="str">
        <x:v>DEMO</x:v>
      </x:c>
      <x:c r="B87" s="59" t="str">
        <x:f>IF(OR(C87="",E87=""),"","ATT-"&amp;TEXT(ROW()-5,"00000"))</x:f>
        <x:v>ATT-00082</x:v>
      </x:c>
      <x:c r="C87" s="37" t="str">
        <x:v>CLS-260511-0019</x:v>
      </x:c>
      <x:c r="D87" s="74" t="n">
        <x:f>IFERROR(INDEX('03_CLASS_SCHEDULE'!$C$6:$C$105,MATCH(C87,'03_CLASS_SCHEDULE'!$B$6:$B$105,0)),"")</x:f>
        <x:v>46153</x:v>
      </x:c>
      <x:c r="E87" s="37" t="str">
        <x:v>MBR-0005</x:v>
      </x:c>
      <x:c r="F87" s="63" t="str">
        <x:f>IFERROR(INDEX('02_MEMBERS'!$C$6:$C$105,MATCH(E87,'02_MEMBERS'!$B$6:$B$105,0)),"")</x:f>
        <x:v>Samira Rana</x:v>
      </x:c>
      <x:c r="G87" s="63" t="str">
        <x:f>IFERROR(INDEX('03_CLASS_SCHEDULE'!$F$6:$F$105,MATCH(C87,'03_CLASS_SCHEDULE'!$B$6:$B$105,0)),"")</x:f>
        <x:v>Main Studio</x:v>
      </x:c>
      <x:c r="H87" s="63" t="str">
        <x:f>IFERROR(INDEX('03_CLASS_SCHEDULE'!$H$6:$H$105,MATCH(C87,'03_CLASS_SCHEDULE'!$B$6:$B$105,0)),"")</x:f>
        <x:v>Reformer Beginner</x:v>
      </x:c>
      <x:c r="I87" s="63" t="str">
        <x:f>IFERROR(INDEX('03_CLASS_SCHEDULE'!$K$6:$K$105,MATCH(C87,'03_CLASS_SCHEDULE'!$B$6:$B$105,0)),"")</x:f>
        <x:v>Maya Gurung</x:v>
      </x:c>
      <x:c r="J87" s="37" t="str">
        <x:v>Booked</x:v>
      </x:c>
      <x:c r="K87" s="37" t="str">
        <x:v>Attended</x:v>
      </x:c>
      <x:c r="L87" s="72" t="n">
        <x:v>0.2881944444444444</x:v>
      </x:c>
      <x:c r="M87" s="59" t="n">
        <x:f>IF(OR(K87="Attended",K87="Late"),1,0)</x:f>
        <x:v>1</x:v>
      </x:c>
      <x:c r="N87" s="37" t="n">
        <x:v>4</x:v>
      </x:c>
      <x:c r="O87" s="37" t="str">
        <x:v>Demo attendance</x:v>
      </x:c>
    </x:row>
    <x:row r="88">
      <x:c r="A88" s="37" t="str">
        <x:v>DEMO</x:v>
      </x:c>
      <x:c r="B88" s="59" t="str">
        <x:f>IF(OR(C88="",E88=""),"","ATT-"&amp;TEXT(ROW()-5,"00000"))</x:f>
        <x:v>ATT-00083</x:v>
      </x:c>
      <x:c r="C88" s="37" t="str">
        <x:v>CLS-260511-0019</x:v>
      </x:c>
      <x:c r="D88" s="74" t="n">
        <x:f>IFERROR(INDEX('03_CLASS_SCHEDULE'!$C$6:$C$105,MATCH(C88,'03_CLASS_SCHEDULE'!$B$6:$B$105,0)),"")</x:f>
        <x:v>46153</x:v>
      </x:c>
      <x:c r="E88" s="37" t="str">
        <x:v>MBR-0006</x:v>
      </x:c>
      <x:c r="F88" s="63" t="str">
        <x:f>IFERROR(INDEX('02_MEMBERS'!$C$6:$C$105,MATCH(E88,'02_MEMBERS'!$B$6:$B$105,0)),"")</x:f>
        <x:v>Isha Bista</x:v>
      </x:c>
      <x:c r="G88" s="63" t="str">
        <x:f>IFERROR(INDEX('03_CLASS_SCHEDULE'!$F$6:$F$105,MATCH(C88,'03_CLASS_SCHEDULE'!$B$6:$B$105,0)),"")</x:f>
        <x:v>Main Studio</x:v>
      </x:c>
      <x:c r="H88" s="63" t="str">
        <x:f>IFERROR(INDEX('03_CLASS_SCHEDULE'!$H$6:$H$105,MATCH(C88,'03_CLASS_SCHEDULE'!$B$6:$B$105,0)),"")</x:f>
        <x:v>Reformer Beginner</x:v>
      </x:c>
      <x:c r="I88" s="63" t="str">
        <x:f>IFERROR(INDEX('03_CLASS_SCHEDULE'!$K$6:$K$105,MATCH(C88,'03_CLASS_SCHEDULE'!$B$6:$B$105,0)),"")</x:f>
        <x:v>Maya Gurung</x:v>
      </x:c>
      <x:c r="J88" s="37" t="str">
        <x:v>Booked</x:v>
      </x:c>
      <x:c r="K88" s="37" t="str">
        <x:v>Late</x:v>
      </x:c>
      <x:c r="L88" s="72" t="n">
        <x:v>0.2881944444444444</x:v>
      </x:c>
      <x:c r="M88" s="59" t="n">
        <x:f>IF(OR(K88="Attended",K88="Late"),1,0)</x:f>
        <x:v>1</x:v>
      </x:c>
      <x:c r="N88" s="37" t="n">
        <x:v>5</x:v>
      </x:c>
      <x:c r="O88" s="37" t="str">
        <x:v>Demo attendance</x:v>
      </x:c>
    </x:row>
    <x:row r="89">
      <x:c r="A89" s="37" t="str">
        <x:v>DEMO</x:v>
      </x:c>
      <x:c r="B89" s="59" t="str">
        <x:f>IF(OR(C89="",E89=""),"","ATT-"&amp;TEXT(ROW()-5,"00000"))</x:f>
        <x:v>ATT-00084</x:v>
      </x:c>
      <x:c r="C89" s="37" t="str">
        <x:v>CLS-260511-0019</x:v>
      </x:c>
      <x:c r="D89" s="74" t="n">
        <x:f>IFERROR(INDEX('03_CLASS_SCHEDULE'!$C$6:$C$105,MATCH(C89,'03_CLASS_SCHEDULE'!$B$6:$B$105,0)),"")</x:f>
        <x:v>46153</x:v>
      </x:c>
      <x:c r="E89" s="37" t="str">
        <x:v>MBR-0007</x:v>
      </x:c>
      <x:c r="F89" s="63" t="str">
        <x:f>IFERROR(INDEX('02_MEMBERS'!$C$6:$C$105,MATCH(E89,'02_MEMBERS'!$B$6:$B$105,0)),"")</x:f>
        <x:v>Anu KC</x:v>
      </x:c>
      <x:c r="G89" s="63" t="str">
        <x:f>IFERROR(INDEX('03_CLASS_SCHEDULE'!$F$6:$F$105,MATCH(C89,'03_CLASS_SCHEDULE'!$B$6:$B$105,0)),"")</x:f>
        <x:v>Main Studio</x:v>
      </x:c>
      <x:c r="H89" s="63" t="str">
        <x:f>IFERROR(INDEX('03_CLASS_SCHEDULE'!$H$6:$H$105,MATCH(C89,'03_CLASS_SCHEDULE'!$B$6:$B$105,0)),"")</x:f>
        <x:v>Reformer Beginner</x:v>
      </x:c>
      <x:c r="I89" s="63" t="str">
        <x:f>IFERROR(INDEX('03_CLASS_SCHEDULE'!$K$6:$K$105,MATCH(C89,'03_CLASS_SCHEDULE'!$B$6:$B$105,0)),"")</x:f>
        <x:v>Maya Gurung</x:v>
      </x:c>
      <x:c r="J89" s="37" t="str">
        <x:v>Booked</x:v>
      </x:c>
      <x:c r="K89" s="37" t="str">
        <x:v>No-show</x:v>
      </x:c>
      <x:c r="L89" s="72" t="n">
        <x:v>0.2881944444444444</x:v>
      </x:c>
      <x:c r="M89" s="59" t="n">
        <x:f>IF(OR(K89="Attended",K89="Late"),1,0)</x:f>
        <x:v>0</x:v>
      </x:c>
      <x:c r="N89" s="37" t="n">
        <x:v>4</x:v>
      </x:c>
      <x:c r="O89" s="37" t="str">
        <x:v>Demo attendance</x:v>
      </x:c>
    </x:row>
    <x:row r="90">
      <x:c r="A90" s="37" t="str">
        <x:v>DEMO</x:v>
      </x:c>
      <x:c r="B90" s="59" t="str">
        <x:f>IF(OR(C90="",E90=""),"","ATT-"&amp;TEXT(ROW()-5,"00000"))</x:f>
        <x:v>ATT-00085</x:v>
      </x:c>
      <x:c r="C90" s="37" t="str">
        <x:v>CLS-260518-0020</x:v>
      </x:c>
      <x:c r="D90" s="74" t="n">
        <x:f>IFERROR(INDEX('03_CLASS_SCHEDULE'!$C$6:$C$105,MATCH(C90,'03_CLASS_SCHEDULE'!$B$6:$B$105,0)),"")</x:f>
        <x:v>46160</x:v>
      </x:c>
      <x:c r="E90" s="37" t="str">
        <x:v>MBR-0004</x:v>
      </x:c>
      <x:c r="F90" s="63" t="str">
        <x:f>IFERROR(INDEX('02_MEMBERS'!$C$6:$C$105,MATCH(E90,'02_MEMBERS'!$B$6:$B$105,0)),"")</x:f>
        <x:v>Nina Maharjan</x:v>
      </x:c>
      <x:c r="G90" s="63" t="str">
        <x:f>IFERROR(INDEX('03_CLASS_SCHEDULE'!$F$6:$F$105,MATCH(C90,'03_CLASS_SCHEDULE'!$B$6:$B$105,0)),"")</x:f>
        <x:v>Main Studio</x:v>
      </x:c>
      <x:c r="H90" s="63" t="str">
        <x:f>IFERROR(INDEX('03_CLASS_SCHEDULE'!$H$6:$H$105,MATCH(C90,'03_CLASS_SCHEDULE'!$B$6:$B$105,0)),"")</x:f>
        <x:v>Reformer Intermediate</x:v>
      </x:c>
      <x:c r="I90" s="63" t="str">
        <x:f>IFERROR(INDEX('03_CLASS_SCHEDULE'!$K$6:$K$105,MATCH(C90,'03_CLASS_SCHEDULE'!$B$6:$B$105,0)),"")</x:f>
        <x:v>Riya Thapa</x:v>
      </x:c>
      <x:c r="J90" s="37" t="str">
        <x:v>Booked</x:v>
      </x:c>
      <x:c r="K90" s="37" t="str">
        <x:v>Attended</x:v>
      </x:c>
      <x:c r="L90" s="72" t="n">
        <x:v>0.2881944444444444</x:v>
      </x:c>
      <x:c r="M90" s="59" t="n">
        <x:f>IF(OR(K90="Attended",K90="Late"),1,0)</x:f>
        <x:v>1</x:v>
      </x:c>
      <x:c r="N90" s="37" t="n">
        <x:v>4</x:v>
      </x:c>
      <x:c r="O90" s="37" t="str">
        <x:v>Demo attendance</x:v>
      </x:c>
    </x:row>
    <x:row r="91">
      <x:c r="A91" s="37" t="str">
        <x:v>DEMO</x:v>
      </x:c>
      <x:c r="B91" s="59" t="str">
        <x:f>IF(OR(C91="",E91=""),"","ATT-"&amp;TEXT(ROW()-5,"00000"))</x:f>
        <x:v>ATT-00086</x:v>
      </x:c>
      <x:c r="C91" s="37" t="str">
        <x:v>CLS-260518-0020</x:v>
      </x:c>
      <x:c r="D91" s="74" t="n">
        <x:f>IFERROR(INDEX('03_CLASS_SCHEDULE'!$C$6:$C$105,MATCH(C91,'03_CLASS_SCHEDULE'!$B$6:$B$105,0)),"")</x:f>
        <x:v>46160</x:v>
      </x:c>
      <x:c r="E91" s="37" t="str">
        <x:v>MBR-0005</x:v>
      </x:c>
      <x:c r="F91" s="63" t="str">
        <x:f>IFERROR(INDEX('02_MEMBERS'!$C$6:$C$105,MATCH(E91,'02_MEMBERS'!$B$6:$B$105,0)),"")</x:f>
        <x:v>Samira Rana</x:v>
      </x:c>
      <x:c r="G91" s="63" t="str">
        <x:f>IFERROR(INDEX('03_CLASS_SCHEDULE'!$F$6:$F$105,MATCH(C91,'03_CLASS_SCHEDULE'!$B$6:$B$105,0)),"")</x:f>
        <x:v>Main Studio</x:v>
      </x:c>
      <x:c r="H91" s="63" t="str">
        <x:f>IFERROR(INDEX('03_CLASS_SCHEDULE'!$H$6:$H$105,MATCH(C91,'03_CLASS_SCHEDULE'!$B$6:$B$105,0)),"")</x:f>
        <x:v>Reformer Intermediate</x:v>
      </x:c>
      <x:c r="I91" s="63" t="str">
        <x:f>IFERROR(INDEX('03_CLASS_SCHEDULE'!$K$6:$K$105,MATCH(C91,'03_CLASS_SCHEDULE'!$B$6:$B$105,0)),"")</x:f>
        <x:v>Riya Thapa</x:v>
      </x:c>
      <x:c r="J91" s="37" t="str">
        <x:v>Booked</x:v>
      </x:c>
      <x:c r="K91" s="37" t="str">
        <x:v>Attended</x:v>
      </x:c>
      <x:c r="L91" s="72" t="n">
        <x:v>0.2881944444444444</x:v>
      </x:c>
      <x:c r="M91" s="59" t="n">
        <x:f>IF(OR(K91="Attended",K91="Late"),1,0)</x:f>
        <x:v>1</x:v>
      </x:c>
      <x:c r="N91" s="37" t="n">
        <x:v>5</x:v>
      </x:c>
      <x:c r="O91" s="37" t="str">
        <x:v>Demo attendance</x:v>
      </x:c>
    </x:row>
    <x:row r="92">
      <x:c r="A92" s="37" t="str">
        <x:v>DEMO</x:v>
      </x:c>
      <x:c r="B92" s="59" t="str">
        <x:f>IF(OR(C92="",E92=""),"","ATT-"&amp;TEXT(ROW()-5,"00000"))</x:f>
        <x:v>ATT-00087</x:v>
      </x:c>
      <x:c r="C92" s="37" t="str">
        <x:v>CLS-260518-0020</x:v>
      </x:c>
      <x:c r="D92" s="74" t="n">
        <x:f>IFERROR(INDEX('03_CLASS_SCHEDULE'!$C$6:$C$105,MATCH(C92,'03_CLASS_SCHEDULE'!$B$6:$B$105,0)),"")</x:f>
        <x:v>46160</x:v>
      </x:c>
      <x:c r="E92" s="37" t="str">
        <x:v>MBR-0006</x:v>
      </x:c>
      <x:c r="F92" s="63" t="str">
        <x:f>IFERROR(INDEX('02_MEMBERS'!$C$6:$C$105,MATCH(E92,'02_MEMBERS'!$B$6:$B$105,0)),"")</x:f>
        <x:v>Isha Bista</x:v>
      </x:c>
      <x:c r="G92" s="63" t="str">
        <x:f>IFERROR(INDEX('03_CLASS_SCHEDULE'!$F$6:$F$105,MATCH(C92,'03_CLASS_SCHEDULE'!$B$6:$B$105,0)),"")</x:f>
        <x:v>Main Studio</x:v>
      </x:c>
      <x:c r="H92" s="63" t="str">
        <x:f>IFERROR(INDEX('03_CLASS_SCHEDULE'!$H$6:$H$105,MATCH(C92,'03_CLASS_SCHEDULE'!$B$6:$B$105,0)),"")</x:f>
        <x:v>Reformer Intermediate</x:v>
      </x:c>
      <x:c r="I92" s="63" t="str">
        <x:f>IFERROR(INDEX('03_CLASS_SCHEDULE'!$K$6:$K$105,MATCH(C92,'03_CLASS_SCHEDULE'!$B$6:$B$105,0)),"")</x:f>
        <x:v>Riya Thapa</x:v>
      </x:c>
      <x:c r="J92" s="37" t="str">
        <x:v>Booked</x:v>
      </x:c>
      <x:c r="K92" s="37" t="str">
        <x:v>Late</x:v>
      </x:c>
      <x:c r="L92" s="72" t="n">
        <x:v>0.2881944444444444</x:v>
      </x:c>
      <x:c r="M92" s="59" t="n">
        <x:f>IF(OR(K92="Attended",K92="Late"),1,0)</x:f>
        <x:v>1</x:v>
      </x:c>
      <x:c r="N92" s="37" t="n">
        <x:v>4</x:v>
      </x:c>
      <x:c r="O92" s="37" t="str">
        <x:v>Demo attendance</x:v>
      </x:c>
    </x:row>
    <x:row r="93">
      <x:c r="A93" s="37" t="str">
        <x:v>DEMO</x:v>
      </x:c>
      <x:c r="B93" s="59" t="str">
        <x:f>IF(OR(C93="",E93=""),"","ATT-"&amp;TEXT(ROW()-5,"00000"))</x:f>
        <x:v>ATT-00088</x:v>
      </x:c>
      <x:c r="C93" s="37" t="str">
        <x:v>CLS-260518-0020</x:v>
      </x:c>
      <x:c r="D93" s="74" t="n">
        <x:f>IFERROR(INDEX('03_CLASS_SCHEDULE'!$C$6:$C$105,MATCH(C93,'03_CLASS_SCHEDULE'!$B$6:$B$105,0)),"")</x:f>
        <x:v>46160</x:v>
      </x:c>
      <x:c r="E93" s="37" t="str">
        <x:v>MBR-0007</x:v>
      </x:c>
      <x:c r="F93" s="63" t="str">
        <x:f>IFERROR(INDEX('02_MEMBERS'!$C$6:$C$105,MATCH(E93,'02_MEMBERS'!$B$6:$B$105,0)),"")</x:f>
        <x:v>Anu KC</x:v>
      </x:c>
      <x:c r="G93" s="63" t="str">
        <x:f>IFERROR(INDEX('03_CLASS_SCHEDULE'!$F$6:$F$105,MATCH(C93,'03_CLASS_SCHEDULE'!$B$6:$B$105,0)),"")</x:f>
        <x:v>Main Studio</x:v>
      </x:c>
      <x:c r="H93" s="63" t="str">
        <x:f>IFERROR(INDEX('03_CLASS_SCHEDULE'!$H$6:$H$105,MATCH(C93,'03_CLASS_SCHEDULE'!$B$6:$B$105,0)),"")</x:f>
        <x:v>Reformer Intermediate</x:v>
      </x:c>
      <x:c r="I93" s="63" t="str">
        <x:f>IFERROR(INDEX('03_CLASS_SCHEDULE'!$K$6:$K$105,MATCH(C93,'03_CLASS_SCHEDULE'!$B$6:$B$105,0)),"")</x:f>
        <x:v>Riya Thapa</x:v>
      </x:c>
      <x:c r="J93" s="37" t="str">
        <x:v>Booked</x:v>
      </x:c>
      <x:c r="K93" s="37" t="str">
        <x:v>No-show</x:v>
      </x:c>
      <x:c r="L93" s="72" t="n">
        <x:v>0.2881944444444444</x:v>
      </x:c>
      <x:c r="M93" s="59" t="n">
        <x:f>IF(OR(K93="Attended",K93="Late"),1,0)</x:f>
        <x:v>0</x:v>
      </x:c>
      <x:c r="N93" s="37" t="n">
        <x:v>5</x:v>
      </x:c>
      <x:c r="O93" s="37" t="str">
        <x:v>Demo attendance</x:v>
      </x:c>
    </x:row>
    <x:row r="94">
      <x:c r="A94" s="37" t="str">
        <x:v>DEMO</x:v>
      </x:c>
      <x:c r="B94" s="59" t="str">
        <x:f>IF(OR(C94="",E94=""),"","ATT-"&amp;TEXT(ROW()-5,"00000"))</x:f>
        <x:v>ATT-00089</x:v>
      </x:c>
      <x:c r="C94" s="37" t="str">
        <x:v>CLS-260518-0020</x:v>
      </x:c>
      <x:c r="D94" s="74" t="n">
        <x:f>IFERROR(INDEX('03_CLASS_SCHEDULE'!$C$6:$C$105,MATCH(C94,'03_CLASS_SCHEDULE'!$B$6:$B$105,0)),"")</x:f>
        <x:v>46160</x:v>
      </x:c>
      <x:c r="E94" s="37" t="str">
        <x:v>MBR-0008</x:v>
      </x:c>
      <x:c r="F94" s="63" t="str">
        <x:f>IFERROR(INDEX('02_MEMBERS'!$C$6:$C$105,MATCH(E94,'02_MEMBERS'!$B$6:$B$105,0)),"")</x:f>
        <x:v>Roshni Lama</x:v>
      </x:c>
      <x:c r="G94" s="63" t="str">
        <x:f>IFERROR(INDEX('03_CLASS_SCHEDULE'!$F$6:$F$105,MATCH(C94,'03_CLASS_SCHEDULE'!$B$6:$B$105,0)),"")</x:f>
        <x:v>Main Studio</x:v>
      </x:c>
      <x:c r="H94" s="63" t="str">
        <x:f>IFERROR(INDEX('03_CLASS_SCHEDULE'!$H$6:$H$105,MATCH(C94,'03_CLASS_SCHEDULE'!$B$6:$B$105,0)),"")</x:f>
        <x:v>Reformer Intermediate</x:v>
      </x:c>
      <x:c r="I94" s="63" t="str">
        <x:f>IFERROR(INDEX('03_CLASS_SCHEDULE'!$K$6:$K$105,MATCH(C94,'03_CLASS_SCHEDULE'!$B$6:$B$105,0)),"")</x:f>
        <x:v>Riya Thapa</x:v>
      </x:c>
      <x:c r="J94" s="37" t="str">
        <x:v>Booked</x:v>
      </x:c>
      <x:c r="K94" s="37" t="str">
        <x:v>Attended</x:v>
      </x:c>
      <x:c r="L94" s="72" t="n">
        <x:v>0.2881944444444444</x:v>
      </x:c>
      <x:c r="M94" s="59" t="n">
        <x:f>IF(OR(K94="Attended",K94="Late"),1,0)</x:f>
        <x:v>1</x:v>
      </x:c>
      <x:c r="N94" s="37" t="n">
        <x:v>4</x:v>
      </x:c>
      <x:c r="O94" s="37" t="str">
        <x:v>Demo attendance</x:v>
      </x:c>
    </x:row>
    <x:row r="95">
      <x:c r="A95" s="37" t="str">
        <x:v>DEMO</x:v>
      </x:c>
      <x:c r="B95" s="59" t="str">
        <x:f>IF(OR(C95="",E95=""),"","ATT-"&amp;TEXT(ROW()-5,"00000"))</x:f>
        <x:v>ATT-00090</x:v>
      </x:c>
      <x:c r="C95" s="37" t="str">
        <x:v>CLS-260518-0020</x:v>
      </x:c>
      <x:c r="D95" s="74" t="n">
        <x:f>IFERROR(INDEX('03_CLASS_SCHEDULE'!$C$6:$C$105,MATCH(C95,'03_CLASS_SCHEDULE'!$B$6:$B$105,0)),"")</x:f>
        <x:v>46160</x:v>
      </x:c>
      <x:c r="E95" s="37" t="str">
        <x:v>MBR-0009</x:v>
      </x:c>
      <x:c r="F95" s="63" t="str">
        <x:f>IFERROR(INDEX('02_MEMBERS'!$C$6:$C$105,MATCH(E95,'02_MEMBERS'!$B$6:$B$105,0)),"")</x:f>
        <x:v>Kritika Poudel</x:v>
      </x:c>
      <x:c r="G95" s="63" t="str">
        <x:f>IFERROR(INDEX('03_CLASS_SCHEDULE'!$F$6:$F$105,MATCH(C95,'03_CLASS_SCHEDULE'!$B$6:$B$105,0)),"")</x:f>
        <x:v>Main Studio</x:v>
      </x:c>
      <x:c r="H95" s="63" t="str">
        <x:f>IFERROR(INDEX('03_CLASS_SCHEDULE'!$H$6:$H$105,MATCH(C95,'03_CLASS_SCHEDULE'!$B$6:$B$105,0)),"")</x:f>
        <x:v>Reformer Intermediate</x:v>
      </x:c>
      <x:c r="I95" s="63" t="str">
        <x:f>IFERROR(INDEX('03_CLASS_SCHEDULE'!$K$6:$K$105,MATCH(C95,'03_CLASS_SCHEDULE'!$B$6:$B$105,0)),"")</x:f>
        <x:v>Riya Thapa</x:v>
      </x:c>
      <x:c r="J95" s="37" t="str">
        <x:v>Booked</x:v>
      </x:c>
      <x:c r="K95" s="37" t="str">
        <x:v>Attended</x:v>
      </x:c>
      <x:c r="L95" s="72" t="n">
        <x:v>0.2881944444444444</x:v>
      </x:c>
      <x:c r="M95" s="59" t="n">
        <x:f>IF(OR(K95="Attended",K95="Late"),1,0)</x:f>
        <x:v>1</x:v>
      </x:c>
      <x:c r="N95" s="37" t="n">
        <x:v>5</x:v>
      </x:c>
      <x:c r="O95" s="37" t="str">
        <x:v>Demo attendance</x:v>
      </x:c>
    </x:row>
    <x:row r="96">
      <x:c r="A96" s="37"/>
      <x:c r="B96" s="59" t="str">
        <x:f>IF(OR(C96="",E96=""),"","ATT-"&amp;TEXT(ROW()-5,"00000"))</x:f>
      </x:c>
      <x:c r="C96" s="37"/>
      <x:c r="D96" s="74" t="str">
        <x:f>IFERROR(INDEX('03_CLASS_SCHEDULE'!$C$6:$C$105,MATCH(C96,'03_CLASS_SCHEDULE'!$B$6:$B$105,0)),"")</x:f>
      </x:c>
      <x:c r="E96" s="37"/>
      <x:c r="F96" s="63" t="str">
        <x:f>IFERROR(INDEX('02_MEMBERS'!$C$6:$C$105,MATCH(E96,'02_MEMBERS'!$B$6:$B$105,0)),"")</x:f>
      </x:c>
      <x:c r="G96" s="63" t="str">
        <x:f>IFERROR(INDEX('03_CLASS_SCHEDULE'!$F$6:$F$105,MATCH(C96,'03_CLASS_SCHEDULE'!$B$6:$B$105,0)),"")</x:f>
      </x:c>
      <x:c r="H96" s="63" t="str">
        <x:f>IFERROR(INDEX('03_CLASS_SCHEDULE'!$H$6:$H$105,MATCH(C96,'03_CLASS_SCHEDULE'!$B$6:$B$105,0)),"")</x:f>
      </x:c>
      <x:c r="I96" s="63" t="str">
        <x:f>IFERROR(INDEX('03_CLASS_SCHEDULE'!$K$6:$K$105,MATCH(C96,'03_CLASS_SCHEDULE'!$B$6:$B$105,0)),"")</x:f>
      </x:c>
      <x:c r="J96" s="37"/>
      <x:c r="K96" s="37"/>
      <x:c r="L96" s="72"/>
      <x:c r="M96" s="59" t="n">
        <x:f>IF(OR(K96="Attended",K96="Late"),1,0)</x:f>
        <x:v>0</x:v>
      </x:c>
      <x:c r="N96" s="37"/>
      <x:c r="O96" s="37"/>
    </x:row>
    <x:row r="97">
      <x:c r="A97" s="37"/>
      <x:c r="B97" s="59" t="str">
        <x:f>IF(OR(C97="",E97=""),"","ATT-"&amp;TEXT(ROW()-5,"00000"))</x:f>
      </x:c>
      <x:c r="C97" s="37"/>
      <x:c r="D97" s="74" t="str">
        <x:f>IFERROR(INDEX('03_CLASS_SCHEDULE'!$C$6:$C$105,MATCH(C97,'03_CLASS_SCHEDULE'!$B$6:$B$105,0)),"")</x:f>
      </x:c>
      <x:c r="E97" s="37"/>
      <x:c r="F97" s="63" t="str">
        <x:f>IFERROR(INDEX('02_MEMBERS'!$C$6:$C$105,MATCH(E97,'02_MEMBERS'!$B$6:$B$105,0)),"")</x:f>
      </x:c>
      <x:c r="G97" s="63" t="str">
        <x:f>IFERROR(INDEX('03_CLASS_SCHEDULE'!$F$6:$F$105,MATCH(C97,'03_CLASS_SCHEDULE'!$B$6:$B$105,0)),"")</x:f>
      </x:c>
      <x:c r="H97" s="63" t="str">
        <x:f>IFERROR(INDEX('03_CLASS_SCHEDULE'!$H$6:$H$105,MATCH(C97,'03_CLASS_SCHEDULE'!$B$6:$B$105,0)),"")</x:f>
      </x:c>
      <x:c r="I97" s="63" t="str">
        <x:f>IFERROR(INDEX('03_CLASS_SCHEDULE'!$K$6:$K$105,MATCH(C97,'03_CLASS_SCHEDULE'!$B$6:$B$105,0)),"")</x:f>
      </x:c>
      <x:c r="J97" s="37"/>
      <x:c r="K97" s="37"/>
      <x:c r="L97" s="72"/>
      <x:c r="M97" s="59" t="n">
        <x:f>IF(OR(K97="Attended",K97="Late"),1,0)</x:f>
        <x:v>0</x:v>
      </x:c>
      <x:c r="N97" s="37"/>
      <x:c r="O97" s="37"/>
    </x:row>
    <x:row r="98">
      <x:c r="A98" s="37"/>
      <x:c r="B98" s="59" t="str">
        <x:f>IF(OR(C98="",E98=""),"","ATT-"&amp;TEXT(ROW()-5,"00000"))</x:f>
      </x:c>
      <x:c r="C98" s="37"/>
      <x:c r="D98" s="74" t="str">
        <x:f>IFERROR(INDEX('03_CLASS_SCHEDULE'!$C$6:$C$105,MATCH(C98,'03_CLASS_SCHEDULE'!$B$6:$B$105,0)),"")</x:f>
      </x:c>
      <x:c r="E98" s="37"/>
      <x:c r="F98" s="63" t="str">
        <x:f>IFERROR(INDEX('02_MEMBERS'!$C$6:$C$105,MATCH(E98,'02_MEMBERS'!$B$6:$B$105,0)),"")</x:f>
      </x:c>
      <x:c r="G98" s="63" t="str">
        <x:f>IFERROR(INDEX('03_CLASS_SCHEDULE'!$F$6:$F$105,MATCH(C98,'03_CLASS_SCHEDULE'!$B$6:$B$105,0)),"")</x:f>
      </x:c>
      <x:c r="H98" s="63" t="str">
        <x:f>IFERROR(INDEX('03_CLASS_SCHEDULE'!$H$6:$H$105,MATCH(C98,'03_CLASS_SCHEDULE'!$B$6:$B$105,0)),"")</x:f>
      </x:c>
      <x:c r="I98" s="63" t="str">
        <x:f>IFERROR(INDEX('03_CLASS_SCHEDULE'!$K$6:$K$105,MATCH(C98,'03_CLASS_SCHEDULE'!$B$6:$B$105,0)),"")</x:f>
      </x:c>
      <x:c r="J98" s="37"/>
      <x:c r="K98" s="37"/>
      <x:c r="L98" s="72"/>
      <x:c r="M98" s="59" t="n">
        <x:f>IF(OR(K98="Attended",K98="Late"),1,0)</x:f>
        <x:v>0</x:v>
      </x:c>
      <x:c r="N98" s="37"/>
      <x:c r="O98" s="37"/>
    </x:row>
    <x:row r="99">
      <x:c r="A99" s="37"/>
      <x:c r="B99" s="59" t="str">
        <x:f>IF(OR(C99="",E99=""),"","ATT-"&amp;TEXT(ROW()-5,"00000"))</x:f>
      </x:c>
      <x:c r="C99" s="37"/>
      <x:c r="D99" s="74" t="str">
        <x:f>IFERROR(INDEX('03_CLASS_SCHEDULE'!$C$6:$C$105,MATCH(C99,'03_CLASS_SCHEDULE'!$B$6:$B$105,0)),"")</x:f>
      </x:c>
      <x:c r="E99" s="37"/>
      <x:c r="F99" s="63" t="str">
        <x:f>IFERROR(INDEX('02_MEMBERS'!$C$6:$C$105,MATCH(E99,'02_MEMBERS'!$B$6:$B$105,0)),"")</x:f>
      </x:c>
      <x:c r="G99" s="63" t="str">
        <x:f>IFERROR(INDEX('03_CLASS_SCHEDULE'!$F$6:$F$105,MATCH(C99,'03_CLASS_SCHEDULE'!$B$6:$B$105,0)),"")</x:f>
      </x:c>
      <x:c r="H99" s="63" t="str">
        <x:f>IFERROR(INDEX('03_CLASS_SCHEDULE'!$H$6:$H$105,MATCH(C99,'03_CLASS_SCHEDULE'!$B$6:$B$105,0)),"")</x:f>
      </x:c>
      <x:c r="I99" s="63" t="str">
        <x:f>IFERROR(INDEX('03_CLASS_SCHEDULE'!$K$6:$K$105,MATCH(C99,'03_CLASS_SCHEDULE'!$B$6:$B$105,0)),"")</x:f>
      </x:c>
      <x:c r="J99" s="37"/>
      <x:c r="K99" s="37"/>
      <x:c r="L99" s="72"/>
      <x:c r="M99" s="59" t="n">
        <x:f>IF(OR(K99="Attended",K99="Late"),1,0)</x:f>
        <x:v>0</x:v>
      </x:c>
      <x:c r="N99" s="37"/>
      <x:c r="O99" s="37"/>
    </x:row>
    <x:row r="100">
      <x:c r="A100" s="37"/>
      <x:c r="B100" s="59" t="str">
        <x:f>IF(OR(C100="",E100=""),"","ATT-"&amp;TEXT(ROW()-5,"00000"))</x:f>
      </x:c>
      <x:c r="C100" s="37"/>
      <x:c r="D100" s="74" t="str">
        <x:f>IFERROR(INDEX('03_CLASS_SCHEDULE'!$C$6:$C$105,MATCH(C100,'03_CLASS_SCHEDULE'!$B$6:$B$105,0)),"")</x:f>
      </x:c>
      <x:c r="E100" s="37"/>
      <x:c r="F100" s="63" t="str">
        <x:f>IFERROR(INDEX('02_MEMBERS'!$C$6:$C$105,MATCH(E100,'02_MEMBERS'!$B$6:$B$105,0)),"")</x:f>
      </x:c>
      <x:c r="G100" s="63" t="str">
        <x:f>IFERROR(INDEX('03_CLASS_SCHEDULE'!$F$6:$F$105,MATCH(C100,'03_CLASS_SCHEDULE'!$B$6:$B$105,0)),"")</x:f>
      </x:c>
      <x:c r="H100" s="63" t="str">
        <x:f>IFERROR(INDEX('03_CLASS_SCHEDULE'!$H$6:$H$105,MATCH(C100,'03_CLASS_SCHEDULE'!$B$6:$B$105,0)),"")</x:f>
      </x:c>
      <x:c r="I100" s="63" t="str">
        <x:f>IFERROR(INDEX('03_CLASS_SCHEDULE'!$K$6:$K$105,MATCH(C100,'03_CLASS_SCHEDULE'!$B$6:$B$105,0)),"")</x:f>
      </x:c>
      <x:c r="J100" s="37"/>
      <x:c r="K100" s="37"/>
      <x:c r="L100" s="72"/>
      <x:c r="M100" s="59" t="n">
        <x:f>IF(OR(K100="Attended",K100="Late"),1,0)</x:f>
        <x:v>0</x:v>
      </x:c>
      <x:c r="N100" s="37"/>
      <x:c r="O100" s="37"/>
    </x:row>
    <x:row r="101">
      <x:c r="A101" s="37"/>
      <x:c r="B101" s="59" t="str">
        <x:f>IF(OR(C101="",E101=""),"","ATT-"&amp;TEXT(ROW()-5,"00000"))</x:f>
      </x:c>
      <x:c r="C101" s="37"/>
      <x:c r="D101" s="74" t="str">
        <x:f>IFERROR(INDEX('03_CLASS_SCHEDULE'!$C$6:$C$105,MATCH(C101,'03_CLASS_SCHEDULE'!$B$6:$B$105,0)),"")</x:f>
      </x:c>
      <x:c r="E101" s="37"/>
      <x:c r="F101" s="63" t="str">
        <x:f>IFERROR(INDEX('02_MEMBERS'!$C$6:$C$105,MATCH(E101,'02_MEMBERS'!$B$6:$B$105,0)),"")</x:f>
      </x:c>
      <x:c r="G101" s="63" t="str">
        <x:f>IFERROR(INDEX('03_CLASS_SCHEDULE'!$F$6:$F$105,MATCH(C101,'03_CLASS_SCHEDULE'!$B$6:$B$105,0)),"")</x:f>
      </x:c>
      <x:c r="H101" s="63" t="str">
        <x:f>IFERROR(INDEX('03_CLASS_SCHEDULE'!$H$6:$H$105,MATCH(C101,'03_CLASS_SCHEDULE'!$B$6:$B$105,0)),"")</x:f>
      </x:c>
      <x:c r="I101" s="63" t="str">
        <x:f>IFERROR(INDEX('03_CLASS_SCHEDULE'!$K$6:$K$105,MATCH(C101,'03_CLASS_SCHEDULE'!$B$6:$B$105,0)),"")</x:f>
      </x:c>
      <x:c r="J101" s="37"/>
      <x:c r="K101" s="37"/>
      <x:c r="L101" s="72"/>
      <x:c r="M101" s="59" t="n">
        <x:f>IF(OR(K101="Attended",K101="Late"),1,0)</x:f>
        <x:v>0</x:v>
      </x:c>
      <x:c r="N101" s="37"/>
      <x:c r="O101" s="37"/>
    </x:row>
    <x:row r="102">
      <x:c r="A102" s="37"/>
      <x:c r="B102" s="59" t="str">
        <x:f>IF(OR(C102="",E102=""),"","ATT-"&amp;TEXT(ROW()-5,"00000"))</x:f>
      </x:c>
      <x:c r="C102" s="37"/>
      <x:c r="D102" s="74" t="str">
        <x:f>IFERROR(INDEX('03_CLASS_SCHEDULE'!$C$6:$C$105,MATCH(C102,'03_CLASS_SCHEDULE'!$B$6:$B$105,0)),"")</x:f>
      </x:c>
      <x:c r="E102" s="37"/>
      <x:c r="F102" s="63" t="str">
        <x:f>IFERROR(INDEX('02_MEMBERS'!$C$6:$C$105,MATCH(E102,'02_MEMBERS'!$B$6:$B$105,0)),"")</x:f>
      </x:c>
      <x:c r="G102" s="63" t="str">
        <x:f>IFERROR(INDEX('03_CLASS_SCHEDULE'!$F$6:$F$105,MATCH(C102,'03_CLASS_SCHEDULE'!$B$6:$B$105,0)),"")</x:f>
      </x:c>
      <x:c r="H102" s="63" t="str">
        <x:f>IFERROR(INDEX('03_CLASS_SCHEDULE'!$H$6:$H$105,MATCH(C102,'03_CLASS_SCHEDULE'!$B$6:$B$105,0)),"")</x:f>
      </x:c>
      <x:c r="I102" s="63" t="str">
        <x:f>IFERROR(INDEX('03_CLASS_SCHEDULE'!$K$6:$K$105,MATCH(C102,'03_CLASS_SCHEDULE'!$B$6:$B$105,0)),"")</x:f>
      </x:c>
      <x:c r="J102" s="37"/>
      <x:c r="K102" s="37"/>
      <x:c r="L102" s="72"/>
      <x:c r="M102" s="59" t="n">
        <x:f>IF(OR(K102="Attended",K102="Late"),1,0)</x:f>
        <x:v>0</x:v>
      </x:c>
      <x:c r="N102" s="37"/>
      <x:c r="O102" s="37"/>
    </x:row>
    <x:row r="103">
      <x:c r="A103" s="37"/>
      <x:c r="B103" s="59" t="str">
        <x:f>IF(OR(C103="",E103=""),"","ATT-"&amp;TEXT(ROW()-5,"00000"))</x:f>
      </x:c>
      <x:c r="C103" s="37"/>
      <x:c r="D103" s="74" t="str">
        <x:f>IFERROR(INDEX('03_CLASS_SCHEDULE'!$C$6:$C$105,MATCH(C103,'03_CLASS_SCHEDULE'!$B$6:$B$105,0)),"")</x:f>
      </x:c>
      <x:c r="E103" s="37"/>
      <x:c r="F103" s="63" t="str">
        <x:f>IFERROR(INDEX('02_MEMBERS'!$C$6:$C$105,MATCH(E103,'02_MEMBERS'!$B$6:$B$105,0)),"")</x:f>
      </x:c>
      <x:c r="G103" s="63" t="str">
        <x:f>IFERROR(INDEX('03_CLASS_SCHEDULE'!$F$6:$F$105,MATCH(C103,'03_CLASS_SCHEDULE'!$B$6:$B$105,0)),"")</x:f>
      </x:c>
      <x:c r="H103" s="63" t="str">
        <x:f>IFERROR(INDEX('03_CLASS_SCHEDULE'!$H$6:$H$105,MATCH(C103,'03_CLASS_SCHEDULE'!$B$6:$B$105,0)),"")</x:f>
      </x:c>
      <x:c r="I103" s="63" t="str">
        <x:f>IFERROR(INDEX('03_CLASS_SCHEDULE'!$K$6:$K$105,MATCH(C103,'03_CLASS_SCHEDULE'!$B$6:$B$105,0)),"")</x:f>
      </x:c>
      <x:c r="J103" s="37"/>
      <x:c r="K103" s="37"/>
      <x:c r="L103" s="72"/>
      <x:c r="M103" s="59" t="n">
        <x:f>IF(OR(K103="Attended",K103="Late"),1,0)</x:f>
        <x:v>0</x:v>
      </x:c>
      <x:c r="N103" s="37"/>
      <x:c r="O103" s="37"/>
    </x:row>
    <x:row r="104">
      <x:c r="A104" s="37"/>
      <x:c r="B104" s="59" t="str">
        <x:f>IF(OR(C104="",E104=""),"","ATT-"&amp;TEXT(ROW()-5,"00000"))</x:f>
      </x:c>
      <x:c r="C104" s="37"/>
      <x:c r="D104" s="74" t="str">
        <x:f>IFERROR(INDEX('03_CLASS_SCHEDULE'!$C$6:$C$105,MATCH(C104,'03_CLASS_SCHEDULE'!$B$6:$B$105,0)),"")</x:f>
      </x:c>
      <x:c r="E104" s="37"/>
      <x:c r="F104" s="63" t="str">
        <x:f>IFERROR(INDEX('02_MEMBERS'!$C$6:$C$105,MATCH(E104,'02_MEMBERS'!$B$6:$B$105,0)),"")</x:f>
      </x:c>
      <x:c r="G104" s="63" t="str">
        <x:f>IFERROR(INDEX('03_CLASS_SCHEDULE'!$F$6:$F$105,MATCH(C104,'03_CLASS_SCHEDULE'!$B$6:$B$105,0)),"")</x:f>
      </x:c>
      <x:c r="H104" s="63" t="str">
        <x:f>IFERROR(INDEX('03_CLASS_SCHEDULE'!$H$6:$H$105,MATCH(C104,'03_CLASS_SCHEDULE'!$B$6:$B$105,0)),"")</x:f>
      </x:c>
      <x:c r="I104" s="63" t="str">
        <x:f>IFERROR(INDEX('03_CLASS_SCHEDULE'!$K$6:$K$105,MATCH(C104,'03_CLASS_SCHEDULE'!$B$6:$B$105,0)),"")</x:f>
      </x:c>
      <x:c r="J104" s="37"/>
      <x:c r="K104" s="37"/>
      <x:c r="L104" s="72"/>
      <x:c r="M104" s="59" t="n">
        <x:f>IF(OR(K104="Attended",K104="Late"),1,0)</x:f>
        <x:v>0</x:v>
      </x:c>
      <x:c r="N104" s="37"/>
      <x:c r="O104" s="37"/>
    </x:row>
    <x:row r="105">
      <x:c r="A105" s="37"/>
      <x:c r="B105" s="59" t="str">
        <x:f>IF(OR(C105="",E105=""),"","ATT-"&amp;TEXT(ROW()-5,"00000"))</x:f>
      </x:c>
      <x:c r="C105" s="37"/>
      <x:c r="D105" s="74" t="str">
        <x:f>IFERROR(INDEX('03_CLASS_SCHEDULE'!$C$6:$C$105,MATCH(C105,'03_CLASS_SCHEDULE'!$B$6:$B$105,0)),"")</x:f>
      </x:c>
      <x:c r="E105" s="37"/>
      <x:c r="F105" s="63" t="str">
        <x:f>IFERROR(INDEX('02_MEMBERS'!$C$6:$C$105,MATCH(E105,'02_MEMBERS'!$B$6:$B$105,0)),"")</x:f>
      </x:c>
      <x:c r="G105" s="63" t="str">
        <x:f>IFERROR(INDEX('03_CLASS_SCHEDULE'!$F$6:$F$105,MATCH(C105,'03_CLASS_SCHEDULE'!$B$6:$B$105,0)),"")</x:f>
      </x:c>
      <x:c r="H105" s="63" t="str">
        <x:f>IFERROR(INDEX('03_CLASS_SCHEDULE'!$H$6:$H$105,MATCH(C105,'03_CLASS_SCHEDULE'!$B$6:$B$105,0)),"")</x:f>
      </x:c>
      <x:c r="I105" s="63" t="str">
        <x:f>IFERROR(INDEX('03_CLASS_SCHEDULE'!$K$6:$K$105,MATCH(C105,'03_CLASS_SCHEDULE'!$B$6:$B$105,0)),"")</x:f>
      </x:c>
      <x:c r="J105" s="37"/>
      <x:c r="K105" s="37"/>
      <x:c r="L105" s="72"/>
      <x:c r="M105" s="59" t="n">
        <x:f>IF(OR(K105="Attended",K105="Late"),1,0)</x:f>
        <x:v>0</x:v>
      </x:c>
      <x:c r="N105" s="37"/>
      <x:c r="O105" s="37"/>
    </x:row>
  </x:sheetData>
  <x:mergeCells>
    <x:mergeCell ref="A1:O1"/>
    <x:mergeCell ref="A2:O2"/>
    <x:mergeCell ref="A4:O4"/>
  </x:mergeCells>
  <x:conditionalFormatting sqref="K6:K105">
    <x:cfRule type="expression" dxfId="1" priority="1">
      <x:formula>$K6="No-show"</x:formula>
    </x:cfRule>
  </x:conditionalFormatting>
  <x:dataValidations count="6">
    <x:dataValidation type="list" sqref="A6:A105">
      <x:formula1>99_SETTINGS!$D$19:$D$20</x:formula1>
    </x:dataValidation>
    <x:dataValidation type="list" sqref="C6:C105">
      <x:formula1>'03_CLASS_SCHEDULE'!$B$6:$B$105</x:formula1>
    </x:dataValidation>
    <x:dataValidation type="list" sqref="E6:E105">
      <x:formula1>'02_MEMBERS'!$B$6:$B$105</x:formula1>
    </x:dataValidation>
    <x:dataValidation type="list" sqref="J6:J105">
      <x:formula1>99_SETTINGS!$E$19:$E$22</x:formula1>
    </x:dataValidation>
    <x:dataValidation type="list" sqref="K6:K105">
      <x:formula1>99_SETTINGS!$F$19:$F$22</x:formula1>
    </x:dataValidation>
    <x:dataValidation type="decimal" operator="between" sqref="N6:N105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36b64206f784a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4" hidden="0" customWidth="1"/>
    <x:col min="5" max="5" width="24" hidden="0" customWidth="1"/>
    <x:col min="6" max="6" width="18" hidden="0" customWidth="1"/>
    <x:col min="7" max="7" width="20" hidden="0" customWidth="1"/>
    <x:col min="8" max="8" width="22" hidden="0" customWidth="1"/>
    <x:col min="9" max="9" width="15" hidden="0" customWidth="1"/>
    <x:col min="10" max="10" width="13" hidden="0" customWidth="1"/>
    <x:col min="11" max="11" width="12" hidden="0" customWidth="1"/>
    <x:col min="12" max="12" width="15" hidden="0" customWidth="1"/>
    <x:col min="13" max="13" width="16" hidden="0" customWidth="1"/>
    <x:col min="14" max="14" width="15" hidden="0" customWidth="1"/>
    <x:col min="15" max="15" width="16" hidden="0" customWidth="1"/>
    <x:col min="16" max="16" width="13" hidden="0" customWidth="1"/>
    <x:col min="17" max="17" width="15" hidden="0" customWidth="1"/>
    <x:col min="18" max="18" width="13" hidden="0" customWidth="1"/>
    <x:col min="19" max="19" width="13" hidden="0" customWidth="1"/>
    <x:col min="20" max="20" width="16" hidden="0" customWidth="1"/>
    <x:col min="21" max="21" width="30" hidden="0" customWidth="1"/>
  </x:cols>
  <x:sheetData>
    <x:row r="1" ht="34" customHeight="1">
      <x:c r="A1" s="4" t="str">
        <x:v>SALES, INVOICES &amp; PAYMENTS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6" customHeight="1">
      <x:c r="A2" s="10" t="str">
        <x:v>Track invoiced revenue, cash received and outstanding balances separately.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4">
      <x:c r="A4" s="53" t="str">
        <x:v>Yellow = staff input | Grey/green = automatic calculation | Demo rows can be replaced with real data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</x:row>
    <x:row r="5" ht="34" customHeight="1">
      <x:c r="A5" s="18" t="str">
        <x:v>Record Type</x:v>
      </x:c>
      <x:c r="B5" s="18" t="str">
        <x:v>Transaction ID</x:v>
      </x:c>
      <x:c r="C5" s="18" t="str">
        <x:v>Invoice Date</x:v>
      </x:c>
      <x:c r="D5" s="18" t="str">
        <x:v>Member ID</x:v>
      </x:c>
      <x:c r="E5" s="18" t="str">
        <x:v>Member Name</x:v>
      </x:c>
      <x:c r="F5" s="18" t="str">
        <x:v>Branch</x:v>
      </x:c>
      <x:c r="G5" s="18" t="str">
        <x:v>Revenue Category</x:v>
      </x:c>
      <x:c r="H5" s="18" t="str">
        <x:v>Membership Plan</x:v>
      </x:c>
      <x:c r="I5" s="18" t="str">
        <x:v>Invoice Amount</x:v>
      </x:c>
      <x:c r="J5" s="18" t="str">
        <x:v>Discount</x:v>
      </x:c>
      <x:c r="K5" s="18" t="str">
        <x:v>Tax</x:v>
      </x:c>
      <x:c r="L5" s="18" t="str">
        <x:v>Net Invoice</x:v>
      </x:c>
      <x:c r="M5" s="18" t="str">
        <x:v>Amount Received</x:v>
      </x:c>
      <x:c r="N5" s="18" t="str">
        <x:v>Balance Due</x:v>
      </x:c>
      <x:c r="O5" s="18" t="str">
        <x:v>Payment Method</x:v>
      </x:c>
      <x:c r="P5" s="18" t="str">
        <x:v>Due Date</x:v>
      </x:c>
      <x:c r="Q5" s="18" t="str">
        <x:v>Payment Status</x:v>
      </x:c>
      <x:c r="R5" s="18" t="str">
        <x:v>Service Start</x:v>
      </x:c>
      <x:c r="S5" s="18" t="str">
        <x:v>Service End</x:v>
      </x:c>
      <x:c r="T5" s="18" t="str">
        <x:v>Receipt No.</x:v>
      </x:c>
      <x:c r="U5" s="18" t="str">
        <x:v>Notes</x:v>
      </x:c>
    </x:row>
    <x:row r="6">
      <x:c r="A6" s="37" t="str">
        <x:v>DEMO</x:v>
      </x:c>
      <x:c r="B6" s="59" t="str">
        <x:f>IF(C6="","","INV-"&amp;TEXT(C6,"yymmdd")&amp;"-"&amp;TEXT(ROW()-5,"0000"))</x:f>
        <x:v>INV-260108-0001</x:v>
      </x:c>
      <x:c r="C6" s="42" t="n">
        <x:v>46030</x:v>
      </x:c>
      <x:c r="D6" s="37" t="str">
        <x:v>MBR-0001</x:v>
      </x:c>
      <x:c r="E6" s="63" t="str">
        <x:f>IFERROR(INDEX('02_MEMBERS'!$C$6:$C$105,MATCH(D6,'02_MEMBERS'!$B$6:$B$105,0)),"")</x:f>
        <x:v>Aarati Karki</x:v>
      </x:c>
      <x:c r="F6" s="63" t="str">
        <x:f>IFERROR(INDEX('02_MEMBERS'!$G$6:$G$105,MATCH(D6,'02_MEMBERS'!$B$6:$B$105,0)),"")</x:f>
        <x:v>Main Studio</x:v>
      </x:c>
      <x:c r="G6" s="37" t="str">
        <x:v>Membership</x:v>
      </x:c>
      <x:c r="H6" s="37" t="str">
        <x:v>Monthly 8</x:v>
      </x:c>
      <x:c r="I6" s="44" t="n">
        <x:v>12000</x:v>
      </x:c>
      <x:c r="J6" s="44" t="n">
        <x:v>0</x:v>
      </x:c>
      <x:c r="K6" s="44" t="n">
        <x:v>0</x:v>
      </x:c>
      <x:c r="L6" s="76" t="n">
        <x:f>IF(I6="","",MAX(0,I6-J6+K6))</x:f>
        <x:v>12000</x:v>
      </x:c>
      <x:c r="M6" s="44" t="n">
        <x:v>9000</x:v>
      </x:c>
      <x:c r="N6" s="76" t="n">
        <x:f>IF(L6="","",MAX(0,L6-M6))</x:f>
        <x:v>3000</x:v>
      </x:c>
      <x:c r="O6" s="37" t="str">
        <x:v>Bank Transfer</x:v>
      </x:c>
      <x:c r="P6" s="42" t="n">
        <x:v>46037</x:v>
      </x:c>
      <x:c r="Q6" s="59" t="str">
        <x:f>IF(L6="","",IF(N6&lt;=0,"Paid",IF(M6&gt;0,"Partial",IF(AND(P6&lt;&gt;"",P6&lt;TODAY()),"Overdue","Unpaid"))))</x:f>
        <x:v>Partial</x:v>
      </x:c>
      <x:c r="R6" s="42" t="n">
        <x:v>46030</x:v>
      </x:c>
      <x:c r="S6" s="42" t="n">
        <x:v>46060</x:v>
      </x:c>
      <x:c r="T6" s="37" t="str">
        <x:v>RCPT-0001</x:v>
      </x:c>
      <x:c r="U6" s="37" t="str">
        <x:v>Demo sale</x:v>
      </x:c>
    </x:row>
    <x:row r="7">
      <x:c r="A7" s="37" t="str">
        <x:v>DEMO</x:v>
      </x:c>
      <x:c r="B7" s="59" t="str">
        <x:f>IF(C7="","","INV-"&amp;TEXT(C7,"yymmdd")&amp;"-"&amp;TEXT(ROW()-5,"0000"))</x:f>
        <x:v>INV-260113-0002</x:v>
      </x:c>
      <x:c r="C7" s="42" t="n">
        <x:v>46035</x:v>
      </x:c>
      <x:c r="D7" s="37" t="str">
        <x:v>MBR-0002</x:v>
      </x:c>
      <x:c r="E7" s="63" t="str">
        <x:f>IFERROR(INDEX('02_MEMBERS'!$C$6:$C$105,MATCH(D7,'02_MEMBERS'!$B$6:$B$105,0)),"")</x:f>
        <x:v>Sneha Joshi</x:v>
      </x:c>
      <x:c r="F7" s="63" t="str">
        <x:f>IFERROR(INDEX('02_MEMBERS'!$G$6:$G$105,MATCH(D7,'02_MEMBERS'!$B$6:$B$105,0)),"")</x:f>
        <x:v>Main Studio</x:v>
      </x:c>
      <x:c r="G7" s="37" t="str">
        <x:v>Membership</x:v>
      </x:c>
      <x:c r="H7" s="37" t="str">
        <x:v>Monthly 12</x:v>
      </x:c>
      <x:c r="I7" s="44" t="n">
        <x:v>16000</x:v>
      </x:c>
      <x:c r="J7" s="44" t="n">
        <x:v>0</x:v>
      </x:c>
      <x:c r="K7" s="44" t="n">
        <x:v>0</x:v>
      </x:c>
      <x:c r="L7" s="76" t="n">
        <x:f>IF(I7="","",MAX(0,I7-J7+K7))</x:f>
        <x:v>16000</x:v>
      </x:c>
      <x:c r="M7" s="44" t="n">
        <x:v>16000</x:v>
      </x:c>
      <x:c r="N7" s="76" t="n">
        <x:f>IF(L7="","",MAX(0,L7-M7))</x:f>
        <x:v>0</x:v>
      </x:c>
      <x:c r="O7" s="37" t="str">
        <x:v>Card</x:v>
      </x:c>
      <x:c r="P7" s="42" t="n">
        <x:v>46042</x:v>
      </x:c>
      <x:c r="Q7" s="59" t="str">
        <x:f>IF(L7="","",IF(N7&lt;=0,"Paid",IF(M7&gt;0,"Partial",IF(AND(P7&lt;&gt;"",P7&lt;TODAY()),"Overdue","Unpaid"))))</x:f>
        <x:v>Paid</x:v>
      </x:c>
      <x:c r="R7" s="42" t="n">
        <x:v>46035</x:v>
      </x:c>
      <x:c r="S7" s="42" t="n">
        <x:v>46065</x:v>
      </x:c>
      <x:c r="T7" s="37" t="str">
        <x:v>RCPT-0002</x:v>
      </x:c>
      <x:c r="U7" s="37" t="str">
        <x:v>Demo sale</x:v>
      </x:c>
    </x:row>
    <x:row r="8">
      <x:c r="A8" s="37" t="str">
        <x:v>DEMO</x:v>
      </x:c>
      <x:c r="B8" s="59" t="str">
        <x:f>IF(C8="","","INV-"&amp;TEXT(C8,"yymmdd")&amp;"-"&amp;TEXT(ROW()-5,"0000"))</x:f>
        <x:v>INV-260118-0003</x:v>
      </x:c>
      <x:c r="C8" s="42" t="n">
        <x:v>46040</x:v>
      </x:c>
      <x:c r="D8" s="37" t="str">
        <x:v>MBR-0003</x:v>
      </x:c>
      <x:c r="E8" s="63" t="str">
        <x:f>IFERROR(INDEX('02_MEMBERS'!$C$6:$C$105,MATCH(D8,'02_MEMBERS'!$B$6:$B$105,0)),"")</x:f>
        <x:v>Prerana Shrestha</x:v>
      </x:c>
      <x:c r="F8" s="63" t="str">
        <x:f>IFERROR(INDEX('02_MEMBERS'!$G$6:$G$105,MATCH(D8,'02_MEMBERS'!$B$6:$B$105,0)),"")</x:f>
        <x:v>Main Studio</x:v>
      </x:c>
      <x:c r="G8" s="37" t="str">
        <x:v>Membership</x:v>
      </x:c>
      <x:c r="H8" s="37" t="str">
        <x:v>Unlimited Monthly</x:v>
      </x:c>
      <x:c r="I8" s="44" t="n">
        <x:v>22000</x:v>
      </x:c>
      <x:c r="J8" s="44" t="n">
        <x:v>0</x:v>
      </x:c>
      <x:c r="K8" s="44" t="n">
        <x:v>0</x:v>
      </x:c>
      <x:c r="L8" s="76" t="n">
        <x:f>IF(I8="","",MAX(0,I8-J8+K8))</x:f>
        <x:v>22000</x:v>
      </x:c>
      <x:c r="M8" s="44" t="n">
        <x:v>22000</x:v>
      </x:c>
      <x:c r="N8" s="76" t="n">
        <x:f>IF(L8="","",MAX(0,L8-M8))</x:f>
        <x:v>0</x:v>
      </x:c>
      <x:c r="O8" s="37" t="str">
        <x:v>Mobile Wallet</x:v>
      </x:c>
      <x:c r="P8" s="42" t="n">
        <x:v>46047</x:v>
      </x:c>
      <x:c r="Q8" s="59" t="str">
        <x:f>IF(L8="","",IF(N8&lt;=0,"Paid",IF(M8&gt;0,"Partial",IF(AND(P8&lt;&gt;"",P8&lt;TODAY()),"Overdue","Unpaid"))))</x:f>
        <x:v>Paid</x:v>
      </x:c>
      <x:c r="R8" s="42" t="n">
        <x:v>46040</x:v>
      </x:c>
      <x:c r="S8" s="42" t="n">
        <x:v>46070</x:v>
      </x:c>
      <x:c r="T8" s="37" t="str">
        <x:v>RCPT-0003</x:v>
      </x:c>
      <x:c r="U8" s="37" t="str">
        <x:v>Demo sale</x:v>
      </x:c>
    </x:row>
    <x:row r="9">
      <x:c r="A9" s="37" t="str">
        <x:v>DEMO</x:v>
      </x:c>
      <x:c r="B9" s="59" t="str">
        <x:f>IF(C9="","","INV-"&amp;TEXT(C9,"yymmdd")&amp;"-"&amp;TEXT(ROW()-5,"0000"))</x:f>
        <x:v>INV-260123-0004</x:v>
      </x:c>
      <x:c r="C9" s="42" t="n">
        <x:v>46045</x:v>
      </x:c>
      <x:c r="D9" s="37" t="str">
        <x:v>MBR-0004</x:v>
      </x:c>
      <x:c r="E9" s="63" t="str">
        <x:f>IFERROR(INDEX('02_MEMBERS'!$C$6:$C$105,MATCH(D9,'02_MEMBERS'!$B$6:$B$105,0)),"")</x:f>
        <x:v>Nina Maharjan</x:v>
      </x:c>
      <x:c r="F9" s="63" t="str">
        <x:f>IFERROR(INDEX('02_MEMBERS'!$G$6:$G$105,MATCH(D9,'02_MEMBERS'!$B$6:$B$105,0)),"")</x:f>
        <x:v>Main Studio</x:v>
      </x:c>
      <x:c r="G9" s="37" t="str">
        <x:v>Membership</x:v>
      </x:c>
      <x:c r="H9" s="37" t="str">
        <x:v>Monthly 8</x:v>
      </x:c>
      <x:c r="I9" s="44" t="n">
        <x:v>8000</x:v>
      </x:c>
      <x:c r="J9" s="44" t="n">
        <x:v>0</x:v>
      </x:c>
      <x:c r="K9" s="44" t="n">
        <x:v>0</x:v>
      </x:c>
      <x:c r="L9" s="76" t="n">
        <x:f>IF(I9="","",MAX(0,I9-J9+K9))</x:f>
        <x:v>8000</x:v>
      </x:c>
      <x:c r="M9" s="44" t="n">
        <x:v>8000</x:v>
      </x:c>
      <x:c r="N9" s="76" t="n">
        <x:f>IF(L9="","",MAX(0,L9-M9))</x:f>
        <x:v>0</x:v>
      </x:c>
      <x:c r="O9" s="37" t="str">
        <x:v>Cash</x:v>
      </x:c>
      <x:c r="P9" s="42" t="n">
        <x:v>46052</x:v>
      </x:c>
      <x:c r="Q9" s="59" t="str">
        <x:f>IF(L9="","",IF(N9&lt;=0,"Paid",IF(M9&gt;0,"Partial",IF(AND(P9&lt;&gt;"",P9&lt;TODAY()),"Overdue","Unpaid"))))</x:f>
        <x:v>Paid</x:v>
      </x:c>
      <x:c r="R9" s="42" t="n">
        <x:v>46045</x:v>
      </x:c>
      <x:c r="S9" s="42" t="n">
        <x:v>46075</x:v>
      </x:c>
      <x:c r="T9" s="37" t="str">
        <x:v>RCPT-0004</x:v>
      </x:c>
      <x:c r="U9" s="37" t="str">
        <x:v>Demo sale</x:v>
      </x:c>
    </x:row>
    <x:row r="10">
      <x:c r="A10" s="37" t="str">
        <x:v>DEMO</x:v>
      </x:c>
      <x:c r="B10" s="59" t="str">
        <x:f>IF(C10="","","INV-"&amp;TEXT(C10,"yymmdd")&amp;"-"&amp;TEXT(ROW()-5,"0000"))</x:f>
        <x:v>INV-260128-0005</x:v>
      </x:c>
      <x:c r="C10" s="42" t="n">
        <x:v>46050</x:v>
      </x:c>
      <x:c r="D10" s="37" t="str">
        <x:v>MBR-0005</x:v>
      </x:c>
      <x:c r="E10" s="63" t="str">
        <x:f>IFERROR(INDEX('02_MEMBERS'!$C$6:$C$105,MATCH(D10,'02_MEMBERS'!$B$6:$B$105,0)),"")</x:f>
        <x:v>Samira Rana</x:v>
      </x:c>
      <x:c r="F10" s="63" t="str">
        <x:f>IFERROR(INDEX('02_MEMBERS'!$G$6:$G$105,MATCH(D10,'02_MEMBERS'!$B$6:$B$105,0)),"")</x:f>
        <x:v>Main Studio</x:v>
      </x:c>
      <x:c r="G10" s="37" t="str">
        <x:v>Membership</x:v>
      </x:c>
      <x:c r="H10" s="37" t="str">
        <x:v>Private 5</x:v>
      </x:c>
      <x:c r="I10" s="44" t="n">
        <x:v>30000</x:v>
      </x:c>
      <x:c r="J10" s="44" t="n">
        <x:v>0</x:v>
      </x:c>
      <x:c r="K10" s="44" t="n">
        <x:v>0</x:v>
      </x:c>
      <x:c r="L10" s="76" t="n">
        <x:f>IF(I10="","",MAX(0,I10-J10+K10))</x:f>
        <x:v>30000</x:v>
      </x:c>
      <x:c r="M10" s="44" t="n">
        <x:v>30000</x:v>
      </x:c>
      <x:c r="N10" s="76" t="n">
        <x:f>IF(L10="","",MAX(0,L10-M10))</x:f>
        <x:v>0</x:v>
      </x:c>
      <x:c r="O10" s="37" t="str">
        <x:v>Bank Transfer</x:v>
      </x:c>
      <x:c r="P10" s="42" t="n">
        <x:v>46057</x:v>
      </x:c>
      <x:c r="Q10" s="59" t="str">
        <x:f>IF(L10="","",IF(N10&lt;=0,"Paid",IF(M10&gt;0,"Partial",IF(AND(P10&lt;&gt;"",P10&lt;TODAY()),"Overdue","Unpaid"))))</x:f>
        <x:v>Paid</x:v>
      </x:c>
      <x:c r="R10" s="42" t="n">
        <x:v>46050</x:v>
      </x:c>
      <x:c r="S10" s="42" t="n">
        <x:v>46080</x:v>
      </x:c>
      <x:c r="T10" s="37" t="str">
        <x:v>RCPT-0005</x:v>
      </x:c>
      <x:c r="U10" s="37" t="str">
        <x:v>Demo sale</x:v>
      </x:c>
    </x:row>
    <x:row r="11">
      <x:c r="A11" s="37" t="str">
        <x:v>DEMO</x:v>
      </x:c>
      <x:c r="B11" s="59" t="str">
        <x:f>IF(C11="","","INV-"&amp;TEXT(C11,"yymmdd")&amp;"-"&amp;TEXT(ROW()-5,"0000"))</x:f>
        <x:v>INV-260202-0006</x:v>
      </x:c>
      <x:c r="C11" s="42" t="n">
        <x:v>46055</x:v>
      </x:c>
      <x:c r="D11" s="37" t="str">
        <x:v>MBR-0006</x:v>
      </x:c>
      <x:c r="E11" s="63" t="str">
        <x:f>IFERROR(INDEX('02_MEMBERS'!$C$6:$C$105,MATCH(D11,'02_MEMBERS'!$B$6:$B$105,0)),"")</x:f>
        <x:v>Isha Bista</x:v>
      </x:c>
      <x:c r="F11" s="63" t="str">
        <x:f>IFERROR(INDEX('02_MEMBERS'!$G$6:$G$105,MATCH(D11,'02_MEMBERS'!$B$6:$B$105,0)),"")</x:f>
        <x:v>Main Studio</x:v>
      </x:c>
      <x:c r="G11" s="37" t="str">
        <x:v>Membership</x:v>
      </x:c>
      <x:c r="H11" s="37" t="str">
        <x:v>Monthly 12</x:v>
      </x:c>
      <x:c r="I11" s="44" t="n">
        <x:v>12000</x:v>
      </x:c>
      <x:c r="J11" s="44" t="n">
        <x:v>0</x:v>
      </x:c>
      <x:c r="K11" s="44" t="n">
        <x:v>0</x:v>
      </x:c>
      <x:c r="L11" s="76" t="n">
        <x:f>IF(I11="","",MAX(0,I11-J11+K11))</x:f>
        <x:v>12000</x:v>
      </x:c>
      <x:c r="M11" s="44" t="n">
        <x:v>12000</x:v>
      </x:c>
      <x:c r="N11" s="76" t="n">
        <x:f>IF(L11="","",MAX(0,L11-M11))</x:f>
        <x:v>0</x:v>
      </x:c>
      <x:c r="O11" s="37" t="str">
        <x:v>Card</x:v>
      </x:c>
      <x:c r="P11" s="42" t="n">
        <x:v>46062</x:v>
      </x:c>
      <x:c r="Q11" s="59" t="str">
        <x:f>IF(L11="","",IF(N11&lt;=0,"Paid",IF(M11&gt;0,"Partial",IF(AND(P11&lt;&gt;"",P11&lt;TODAY()),"Overdue","Unpaid"))))</x:f>
        <x:v>Paid</x:v>
      </x:c>
      <x:c r="R11" s="42" t="n">
        <x:v>46055</x:v>
      </x:c>
      <x:c r="S11" s="42" t="n">
        <x:v>46085</x:v>
      </x:c>
      <x:c r="T11" s="37" t="str">
        <x:v>RCPT-0006</x:v>
      </x:c>
      <x:c r="U11" s="37" t="str">
        <x:v>Demo sale</x:v>
      </x:c>
    </x:row>
    <x:row r="12">
      <x:c r="A12" s="37" t="str">
        <x:v>DEMO</x:v>
      </x:c>
      <x:c r="B12" s="59" t="str">
        <x:f>IF(C12="","","INV-"&amp;TEXT(C12,"yymmdd")&amp;"-"&amp;TEXT(ROW()-5,"0000"))</x:f>
        <x:v>INV-260207-0007</x:v>
      </x:c>
      <x:c r="C12" s="42" t="n">
        <x:v>46060</x:v>
      </x:c>
      <x:c r="D12" s="37" t="str">
        <x:v>MBR-0007</x:v>
      </x:c>
      <x:c r="E12" s="63" t="str">
        <x:f>IFERROR(INDEX('02_MEMBERS'!$C$6:$C$105,MATCH(D12,'02_MEMBERS'!$B$6:$B$105,0)),"")</x:f>
        <x:v>Anu KC</x:v>
      </x:c>
      <x:c r="F12" s="63" t="str">
        <x:f>IFERROR(INDEX('02_MEMBERS'!$G$6:$G$105,MATCH(D12,'02_MEMBERS'!$B$6:$B$105,0)),"")</x:f>
        <x:v>Main Studio</x:v>
      </x:c>
      <x:c r="G12" s="37" t="str">
        <x:v>Membership</x:v>
      </x:c>
      <x:c r="H12" s="37" t="str">
        <x:v>Quarterly 24</x:v>
      </x:c>
      <x:c r="I12" s="44" t="n">
        <x:v>16000</x:v>
      </x:c>
      <x:c r="J12" s="44" t="n">
        <x:v>0</x:v>
      </x:c>
      <x:c r="K12" s="44" t="n">
        <x:v>0</x:v>
      </x:c>
      <x:c r="L12" s="76" t="n">
        <x:f>IF(I12="","",MAX(0,I12-J12+K12))</x:f>
        <x:v>16000</x:v>
      </x:c>
      <x:c r="M12" s="44" t="n">
        <x:v>16000</x:v>
      </x:c>
      <x:c r="N12" s="76" t="n">
        <x:f>IF(L12="","",MAX(0,L12-M12))</x:f>
        <x:v>0</x:v>
      </x:c>
      <x:c r="O12" s="37" t="str">
        <x:v>Mobile Wallet</x:v>
      </x:c>
      <x:c r="P12" s="42" t="n">
        <x:v>46067</x:v>
      </x:c>
      <x:c r="Q12" s="59" t="str">
        <x:f>IF(L12="","",IF(N12&lt;=0,"Paid",IF(M12&gt;0,"Partial",IF(AND(P12&lt;&gt;"",P12&lt;TODAY()),"Overdue","Unpaid"))))</x:f>
        <x:v>Paid</x:v>
      </x:c>
      <x:c r="R12" s="42" t="n">
        <x:v>46060</x:v>
      </x:c>
      <x:c r="S12" s="42" t="n">
        <x:v>46090</x:v>
      </x:c>
      <x:c r="T12" s="37" t="str">
        <x:v>RCPT-0007</x:v>
      </x:c>
      <x:c r="U12" s="37" t="str">
        <x:v>Demo sale</x:v>
      </x:c>
    </x:row>
    <x:row r="13">
      <x:c r="A13" s="37" t="str">
        <x:v>DEMO</x:v>
      </x:c>
      <x:c r="B13" s="59" t="str">
        <x:f>IF(C13="","","INV-"&amp;TEXT(C13,"yymmdd")&amp;"-"&amp;TEXT(ROW()-5,"0000"))</x:f>
        <x:v>INV-260212-0008</x:v>
      </x:c>
      <x:c r="C13" s="42" t="n">
        <x:v>46065</x:v>
      </x:c>
      <x:c r="D13" s="37" t="str">
        <x:v>MBR-0008</x:v>
      </x:c>
      <x:c r="E13" s="63" t="str">
        <x:f>IFERROR(INDEX('02_MEMBERS'!$C$6:$C$105,MATCH(D13,'02_MEMBERS'!$B$6:$B$105,0)),"")</x:f>
        <x:v>Roshni Lama</x:v>
      </x:c>
      <x:c r="F13" s="63" t="str">
        <x:f>IFERROR(INDEX('02_MEMBERS'!$G$6:$G$105,MATCH(D13,'02_MEMBERS'!$B$6:$B$105,0)),"")</x:f>
        <x:v>Main Studio</x:v>
      </x:c>
      <x:c r="G13" s="37" t="str">
        <x:v>Membership</x:v>
      </x:c>
      <x:c r="H13" s="37" t="str">
        <x:v>Monthly 8</x:v>
      </x:c>
      <x:c r="I13" s="44" t="n">
        <x:v>22000</x:v>
      </x:c>
      <x:c r="J13" s="44" t="n">
        <x:v>0</x:v>
      </x:c>
      <x:c r="K13" s="44" t="n">
        <x:v>0</x:v>
      </x:c>
      <x:c r="L13" s="76" t="n">
        <x:f>IF(I13="","",MAX(0,I13-J13+K13))</x:f>
        <x:v>22000</x:v>
      </x:c>
      <x:c r="M13" s="44" t="n">
        <x:v>22000</x:v>
      </x:c>
      <x:c r="N13" s="76" t="n">
        <x:f>IF(L13="","",MAX(0,L13-M13))</x:f>
        <x:v>0</x:v>
      </x:c>
      <x:c r="O13" s="37" t="str">
        <x:v>Cash</x:v>
      </x:c>
      <x:c r="P13" s="42" t="n">
        <x:v>46072</x:v>
      </x:c>
      <x:c r="Q13" s="59" t="str">
        <x:f>IF(L13="","",IF(N13&lt;=0,"Paid",IF(M13&gt;0,"Partial",IF(AND(P13&lt;&gt;"",P13&lt;TODAY()),"Overdue","Unpaid"))))</x:f>
        <x:v>Paid</x:v>
      </x:c>
      <x:c r="R13" s="42" t="n">
        <x:v>46065</x:v>
      </x:c>
      <x:c r="S13" s="42" t="n">
        <x:v>46095</x:v>
      </x:c>
      <x:c r="T13" s="37" t="str">
        <x:v>RCPT-0008</x:v>
      </x:c>
      <x:c r="U13" s="37" t="str">
        <x:v>Demo sale</x:v>
      </x:c>
    </x:row>
    <x:row r="14">
      <x:c r="A14" s="37" t="str">
        <x:v>DEMO</x:v>
      </x:c>
      <x:c r="B14" s="59" t="str">
        <x:f>IF(C14="","","INV-"&amp;TEXT(C14,"yymmdd")&amp;"-"&amp;TEXT(ROW()-5,"0000"))</x:f>
        <x:v>INV-260217-0009</x:v>
      </x:c>
      <x:c r="C14" s="42" t="n">
        <x:v>46070</x:v>
      </x:c>
      <x:c r="D14" s="37" t="str">
        <x:v>MBR-0009</x:v>
      </x:c>
      <x:c r="E14" s="63" t="str">
        <x:f>IFERROR(INDEX('02_MEMBERS'!$C$6:$C$105,MATCH(D14,'02_MEMBERS'!$B$6:$B$105,0)),"")</x:f>
        <x:v>Kritika Poudel</x:v>
      </x:c>
      <x:c r="F14" s="63" t="str">
        <x:f>IFERROR(INDEX('02_MEMBERS'!$G$6:$G$105,MATCH(D14,'02_MEMBERS'!$B$6:$B$105,0)),"")</x:f>
        <x:v>Main Studio</x:v>
      </x:c>
      <x:c r="G14" s="37" t="str">
        <x:v>Membership</x:v>
      </x:c>
      <x:c r="H14" s="37" t="str">
        <x:v>Unlimited Monthly</x:v>
      </x:c>
      <x:c r="I14" s="44" t="n">
        <x:v>8000</x:v>
      </x:c>
      <x:c r="J14" s="44" t="n">
        <x:v>0</x:v>
      </x:c>
      <x:c r="K14" s="44" t="n">
        <x:v>0</x:v>
      </x:c>
      <x:c r="L14" s="76" t="n">
        <x:f>IF(I14="","",MAX(0,I14-J14+K14))</x:f>
        <x:v>8000</x:v>
      </x:c>
      <x:c r="M14" s="44" t="n">
        <x:v>8000</x:v>
      </x:c>
      <x:c r="N14" s="76" t="n">
        <x:f>IF(L14="","",MAX(0,L14-M14))</x:f>
        <x:v>0</x:v>
      </x:c>
      <x:c r="O14" s="37" t="str">
        <x:v>Bank Transfer</x:v>
      </x:c>
      <x:c r="P14" s="42" t="n">
        <x:v>46077</x:v>
      </x:c>
      <x:c r="Q14" s="59" t="str">
        <x:f>IF(L14="","",IF(N14&lt;=0,"Paid",IF(M14&gt;0,"Partial",IF(AND(P14&lt;&gt;"",P14&lt;TODAY()),"Overdue","Unpaid"))))</x:f>
        <x:v>Paid</x:v>
      </x:c>
      <x:c r="R14" s="42" t="n">
        <x:v>46070</x:v>
      </x:c>
      <x:c r="S14" s="42" t="n">
        <x:v>46100</x:v>
      </x:c>
      <x:c r="T14" s="37" t="str">
        <x:v>RCPT-0009</x:v>
      </x:c>
      <x:c r="U14" s="37" t="str">
        <x:v>Demo sale</x:v>
      </x:c>
    </x:row>
    <x:row r="15">
      <x:c r="A15" s="37" t="str">
        <x:v>DEMO</x:v>
      </x:c>
      <x:c r="B15" s="59" t="str">
        <x:f>IF(C15="","","INV-"&amp;TEXT(C15,"yymmdd")&amp;"-"&amp;TEXT(ROW()-5,"0000"))</x:f>
        <x:v>INV-260222-0010</x:v>
      </x:c>
      <x:c r="C15" s="42" t="n">
        <x:v>46075</x:v>
      </x:c>
      <x:c r="D15" s="37" t="str">
        <x:v>MBR-0010</x:v>
      </x:c>
      <x:c r="E15" s="63" t="str">
        <x:f>IFERROR(INDEX('02_MEMBERS'!$C$6:$C$105,MATCH(D15,'02_MEMBERS'!$B$6:$B$105,0)),"")</x:f>
        <x:v>Neha Shahi</x:v>
      </x:c>
      <x:c r="F15" s="63" t="str">
        <x:f>IFERROR(INDEX('02_MEMBERS'!$G$6:$G$105,MATCH(D15,'02_MEMBERS'!$B$6:$B$105,0)),"")</x:f>
        <x:v>Main Studio</x:v>
      </x:c>
      <x:c r="G15" s="37" t="str">
        <x:v>Membership</x:v>
      </x:c>
      <x:c r="H15" s="37" t="str">
        <x:v>Monthly 12</x:v>
      </x:c>
      <x:c r="I15" s="44" t="n">
        <x:v>30000</x:v>
      </x:c>
      <x:c r="J15" s="44" t="n">
        <x:v>0</x:v>
      </x:c>
      <x:c r="K15" s="44" t="n">
        <x:v>0</x:v>
      </x:c>
      <x:c r="L15" s="76" t="n">
        <x:f>IF(I15="","",MAX(0,I15-J15+K15))</x:f>
        <x:v>30000</x:v>
      </x:c>
      <x:c r="M15" s="44" t="n">
        <x:v>27000</x:v>
      </x:c>
      <x:c r="N15" s="76" t="n">
        <x:f>IF(L15="","",MAX(0,L15-M15))</x:f>
        <x:v>3000</x:v>
      </x:c>
      <x:c r="O15" s="37" t="str">
        <x:v>Card</x:v>
      </x:c>
      <x:c r="P15" s="42" t="n">
        <x:v>46082</x:v>
      </x:c>
      <x:c r="Q15" s="59" t="str">
        <x:f>IF(L15="","",IF(N15&lt;=0,"Paid",IF(M15&gt;0,"Partial",IF(AND(P15&lt;&gt;"",P15&lt;TODAY()),"Overdue","Unpaid"))))</x:f>
        <x:v>Partial</x:v>
      </x:c>
      <x:c r="R15" s="42" t="n">
        <x:v>46075</x:v>
      </x:c>
      <x:c r="S15" s="42" t="n">
        <x:v>46105</x:v>
      </x:c>
      <x:c r="T15" s="37" t="str">
        <x:v>RCPT-0010</x:v>
      </x:c>
      <x:c r="U15" s="37" t="str">
        <x:v>Demo sale</x:v>
      </x:c>
    </x:row>
    <x:row r="16">
      <x:c r="A16" s="37" t="str">
        <x:v>DEMO</x:v>
      </x:c>
      <x:c r="B16" s="59" t="str">
        <x:f>IF(C16="","","INV-"&amp;TEXT(C16,"yymmdd")&amp;"-"&amp;TEXT(ROW()-5,"0000"))</x:f>
        <x:v>INV-260227-0011</x:v>
      </x:c>
      <x:c r="C16" s="42" t="n">
        <x:v>46080</x:v>
      </x:c>
      <x:c r="D16" s="37" t="str">
        <x:v>MBR-0011</x:v>
      </x:c>
      <x:c r="E16" s="63" t="str">
        <x:f>IFERROR(INDEX('02_MEMBERS'!$C$6:$C$105,MATCH(D16,'02_MEMBERS'!$B$6:$B$105,0)),"")</x:f>
        <x:v>Puja Tamang</x:v>
      </x:c>
      <x:c r="F16" s="63" t="str">
        <x:f>IFERROR(INDEX('02_MEMBERS'!$G$6:$G$105,MATCH(D16,'02_MEMBERS'!$B$6:$B$105,0)),"")</x:f>
        <x:v>Main Studio</x:v>
      </x:c>
      <x:c r="G16" s="37" t="str">
        <x:v>Membership</x:v>
      </x:c>
      <x:c r="H16" s="37" t="str">
        <x:v>Monthly 8</x:v>
      </x:c>
      <x:c r="I16" s="44" t="n">
        <x:v>12000</x:v>
      </x:c>
      <x:c r="J16" s="44" t="n">
        <x:v>0</x:v>
      </x:c>
      <x:c r="K16" s="44" t="n">
        <x:v>0</x:v>
      </x:c>
      <x:c r="L16" s="76" t="n">
        <x:f>IF(I16="","",MAX(0,I16-J16+K16))</x:f>
        <x:v>12000</x:v>
      </x:c>
      <x:c r="M16" s="44" t="n">
        <x:v>12000</x:v>
      </x:c>
      <x:c r="N16" s="76" t="n">
        <x:f>IF(L16="","",MAX(0,L16-M16))</x:f>
        <x:v>0</x:v>
      </x:c>
      <x:c r="O16" s="37" t="str">
        <x:v>Mobile Wallet</x:v>
      </x:c>
      <x:c r="P16" s="42" t="n">
        <x:v>46087</x:v>
      </x:c>
      <x:c r="Q16" s="59" t="str">
        <x:f>IF(L16="","",IF(N16&lt;=0,"Paid",IF(M16&gt;0,"Partial",IF(AND(P16&lt;&gt;"",P16&lt;TODAY()),"Overdue","Unpaid"))))</x:f>
        <x:v>Paid</x:v>
      </x:c>
      <x:c r="R16" s="42" t="n">
        <x:v>46080</x:v>
      </x:c>
      <x:c r="S16" s="42" t="n">
        <x:v>46110</x:v>
      </x:c>
      <x:c r="T16" s="37" t="str">
        <x:v>RCPT-0011</x:v>
      </x:c>
      <x:c r="U16" s="37" t="str">
        <x:v>Demo sale</x:v>
      </x:c>
    </x:row>
    <x:row r="17">
      <x:c r="A17" s="37" t="str">
        <x:v>DEMO</x:v>
      </x:c>
      <x:c r="B17" s="59" t="str">
        <x:f>IF(C17="","","INV-"&amp;TEXT(C17,"yymmdd")&amp;"-"&amp;TEXT(ROW()-5,"0000"))</x:f>
        <x:v>INV-260304-0012</x:v>
      </x:c>
      <x:c r="C17" s="42" t="n">
        <x:v>46085</x:v>
      </x:c>
      <x:c r="D17" s="37" t="str">
        <x:v>MBR-0012</x:v>
      </x:c>
      <x:c r="E17" s="63" t="str">
        <x:f>IFERROR(INDEX('02_MEMBERS'!$C$6:$C$105,MATCH(D17,'02_MEMBERS'!$B$6:$B$105,0)),"")</x:f>
        <x:v>Sushma Adhikari</x:v>
      </x:c>
      <x:c r="F17" s="63" t="str">
        <x:f>IFERROR(INDEX('02_MEMBERS'!$G$6:$G$105,MATCH(D17,'02_MEMBERS'!$B$6:$B$105,0)),"")</x:f>
        <x:v>Main Studio</x:v>
      </x:c>
      <x:c r="G17" s="37" t="str">
        <x:v>Membership</x:v>
      </x:c>
      <x:c r="H17" s="37" t="str">
        <x:v>Private 5</x:v>
      </x:c>
      <x:c r="I17" s="44" t="n">
        <x:v>16000</x:v>
      </x:c>
      <x:c r="J17" s="44" t="n">
        <x:v>0</x:v>
      </x:c>
      <x:c r="K17" s="44" t="n">
        <x:v>0</x:v>
      </x:c>
      <x:c r="L17" s="76" t="n">
        <x:f>IF(I17="","",MAX(0,I17-J17+K17))</x:f>
        <x:v>16000</x:v>
      </x:c>
      <x:c r="M17" s="44" t="n">
        <x:v>16000</x:v>
      </x:c>
      <x:c r="N17" s="76" t="n">
        <x:f>IF(L17="","",MAX(0,L17-M17))</x:f>
        <x:v>0</x:v>
      </x:c>
      <x:c r="O17" s="37" t="str">
        <x:v>Cash</x:v>
      </x:c>
      <x:c r="P17" s="42" t="n">
        <x:v>46092</x:v>
      </x:c>
      <x:c r="Q17" s="59" t="str">
        <x:f>IF(L17="","",IF(N17&lt;=0,"Paid",IF(M17&gt;0,"Partial",IF(AND(P17&lt;&gt;"",P17&lt;TODAY()),"Overdue","Unpaid"))))</x:f>
        <x:v>Paid</x:v>
      </x:c>
      <x:c r="R17" s="42" t="n">
        <x:v>46085</x:v>
      </x:c>
      <x:c r="S17" s="42" t="n">
        <x:v>46115</x:v>
      </x:c>
      <x:c r="T17" s="37" t="str">
        <x:v>RCPT-0012</x:v>
      </x:c>
      <x:c r="U17" s="37" t="str">
        <x:v>Demo sale</x:v>
      </x:c>
    </x:row>
    <x:row r="18">
      <x:c r="A18" s="37" t="str">
        <x:v>DEMO</x:v>
      </x:c>
      <x:c r="B18" s="59" t="str">
        <x:f>IF(C18="","","INV-"&amp;TEXT(C18,"yymmdd")&amp;"-"&amp;TEXT(ROW()-5,"0000"))</x:f>
        <x:v>INV-260309-0013</x:v>
      </x:c>
      <x:c r="C18" s="42" t="n">
        <x:v>46090</x:v>
      </x:c>
      <x:c r="D18" s="37" t="str">
        <x:v>MBR-0001</x:v>
      </x:c>
      <x:c r="E18" s="63" t="str">
        <x:f>IFERROR(INDEX('02_MEMBERS'!$C$6:$C$105,MATCH(D18,'02_MEMBERS'!$B$6:$B$105,0)),"")</x:f>
        <x:v>Aarati Karki</x:v>
      </x:c>
      <x:c r="F18" s="63" t="str">
        <x:f>IFERROR(INDEX('02_MEMBERS'!$G$6:$G$105,MATCH(D18,'02_MEMBERS'!$B$6:$B$105,0)),"")</x:f>
        <x:v>Main Studio</x:v>
      </x:c>
      <x:c r="G18" s="37" t="str">
        <x:v>Membership</x:v>
      </x:c>
      <x:c r="H18" s="37" t="str">
        <x:v>Monthly 8</x:v>
      </x:c>
      <x:c r="I18" s="44" t="n">
        <x:v>22000</x:v>
      </x:c>
      <x:c r="J18" s="44" t="n">
        <x:v>0</x:v>
      </x:c>
      <x:c r="K18" s="44" t="n">
        <x:v>0</x:v>
      </x:c>
      <x:c r="L18" s="76" t="n">
        <x:f>IF(I18="","",MAX(0,I18-J18+K18))</x:f>
        <x:v>22000</x:v>
      </x:c>
      <x:c r="M18" s="44" t="n">
        <x:v>22000</x:v>
      </x:c>
      <x:c r="N18" s="76" t="n">
        <x:f>IF(L18="","",MAX(0,L18-M18))</x:f>
        <x:v>0</x:v>
      </x:c>
      <x:c r="O18" s="37" t="str">
        <x:v>Bank Transfer</x:v>
      </x:c>
      <x:c r="P18" s="42" t="n">
        <x:v>46097</x:v>
      </x:c>
      <x:c r="Q18" s="59" t="str">
        <x:f>IF(L18="","",IF(N18&lt;=0,"Paid",IF(M18&gt;0,"Partial",IF(AND(P18&lt;&gt;"",P18&lt;TODAY()),"Overdue","Unpaid"))))</x:f>
        <x:v>Paid</x:v>
      </x:c>
      <x:c r="R18" s="42" t="n">
        <x:v>46090</x:v>
      </x:c>
      <x:c r="S18" s="42" t="n">
        <x:v>46120</x:v>
      </x:c>
      <x:c r="T18" s="37" t="str">
        <x:v>RCPT-0013</x:v>
      </x:c>
      <x:c r="U18" s="37" t="str">
        <x:v>Demo sale</x:v>
      </x:c>
    </x:row>
    <x:row r="19">
      <x:c r="A19" s="37" t="str">
        <x:v>DEMO</x:v>
      </x:c>
      <x:c r="B19" s="59" t="str">
        <x:f>IF(C19="","","INV-"&amp;TEXT(C19,"yymmdd")&amp;"-"&amp;TEXT(ROW()-5,"0000"))</x:f>
        <x:v>INV-260314-0014</x:v>
      </x:c>
      <x:c r="C19" s="42" t="n">
        <x:v>46095</x:v>
      </x:c>
      <x:c r="D19" s="37" t="str">
        <x:v>MBR-0002</x:v>
      </x:c>
      <x:c r="E19" s="63" t="str">
        <x:f>IFERROR(INDEX('02_MEMBERS'!$C$6:$C$105,MATCH(D19,'02_MEMBERS'!$B$6:$B$105,0)),"")</x:f>
        <x:v>Sneha Joshi</x:v>
      </x:c>
      <x:c r="F19" s="63" t="str">
        <x:f>IFERROR(INDEX('02_MEMBERS'!$G$6:$G$105,MATCH(D19,'02_MEMBERS'!$B$6:$B$105,0)),"")</x:f>
        <x:v>Main Studio</x:v>
      </x:c>
      <x:c r="G19" s="37" t="str">
        <x:v>Membership</x:v>
      </x:c>
      <x:c r="H19" s="37" t="str">
        <x:v>Monthly 12</x:v>
      </x:c>
      <x:c r="I19" s="44" t="n">
        <x:v>8000</x:v>
      </x:c>
      <x:c r="J19" s="44" t="n">
        <x:v>0</x:v>
      </x:c>
      <x:c r="K19" s="44" t="n">
        <x:v>0</x:v>
      </x:c>
      <x:c r="L19" s="76" t="n">
        <x:f>IF(I19="","",MAX(0,I19-J19+K19))</x:f>
        <x:v>8000</x:v>
      </x:c>
      <x:c r="M19" s="44" t="n">
        <x:v>8000</x:v>
      </x:c>
      <x:c r="N19" s="76" t="n">
        <x:f>IF(L19="","",MAX(0,L19-M19))</x:f>
        <x:v>0</x:v>
      </x:c>
      <x:c r="O19" s="37" t="str">
        <x:v>Card</x:v>
      </x:c>
      <x:c r="P19" s="42" t="n">
        <x:v>46102</x:v>
      </x:c>
      <x:c r="Q19" s="59" t="str">
        <x:f>IF(L19="","",IF(N19&lt;=0,"Paid",IF(M19&gt;0,"Partial",IF(AND(P19&lt;&gt;"",P19&lt;TODAY()),"Overdue","Unpaid"))))</x:f>
        <x:v>Paid</x:v>
      </x:c>
      <x:c r="R19" s="42" t="n">
        <x:v>46095</x:v>
      </x:c>
      <x:c r="S19" s="42" t="n">
        <x:v>46125</x:v>
      </x:c>
      <x:c r="T19" s="37" t="str">
        <x:v>RCPT-0014</x:v>
      </x:c>
      <x:c r="U19" s="37" t="str">
        <x:v>Demo sale</x:v>
      </x:c>
    </x:row>
    <x:row r="20">
      <x:c r="A20" s="37" t="str">
        <x:v>DEMO</x:v>
      </x:c>
      <x:c r="B20" s="59" t="str">
        <x:f>IF(C20="","","INV-"&amp;TEXT(C20,"yymmdd")&amp;"-"&amp;TEXT(ROW()-5,"0000"))</x:f>
        <x:v>INV-260319-0015</x:v>
      </x:c>
      <x:c r="C20" s="42" t="n">
        <x:v>46100</x:v>
      </x:c>
      <x:c r="D20" s="37" t="str">
        <x:v>MBR-0003</x:v>
      </x:c>
      <x:c r="E20" s="63" t="str">
        <x:f>IFERROR(INDEX('02_MEMBERS'!$C$6:$C$105,MATCH(D20,'02_MEMBERS'!$B$6:$B$105,0)),"")</x:f>
        <x:v>Prerana Shrestha</x:v>
      </x:c>
      <x:c r="F20" s="63" t="str">
        <x:f>IFERROR(INDEX('02_MEMBERS'!$G$6:$G$105,MATCH(D20,'02_MEMBERS'!$B$6:$B$105,0)),"")</x:f>
        <x:v>Main Studio</x:v>
      </x:c>
      <x:c r="G20" s="37" t="str">
        <x:v>Membership</x:v>
      </x:c>
      <x:c r="H20" s="37" t="str">
        <x:v>Unlimited Monthly</x:v>
      </x:c>
      <x:c r="I20" s="44" t="n">
        <x:v>30000</x:v>
      </x:c>
      <x:c r="J20" s="44" t="n">
        <x:v>0</x:v>
      </x:c>
      <x:c r="K20" s="44" t="n">
        <x:v>0</x:v>
      </x:c>
      <x:c r="L20" s="76" t="n">
        <x:f>IF(I20="","",MAX(0,I20-J20+K20))</x:f>
        <x:v>30000</x:v>
      </x:c>
      <x:c r="M20" s="44" t="n">
        <x:v>30000</x:v>
      </x:c>
      <x:c r="N20" s="76" t="n">
        <x:f>IF(L20="","",MAX(0,L20-M20))</x:f>
        <x:v>0</x:v>
      </x:c>
      <x:c r="O20" s="37" t="str">
        <x:v>Mobile Wallet</x:v>
      </x:c>
      <x:c r="P20" s="42" t="n">
        <x:v>46107</x:v>
      </x:c>
      <x:c r="Q20" s="59" t="str">
        <x:f>IF(L20="","",IF(N20&lt;=0,"Paid",IF(M20&gt;0,"Partial",IF(AND(P20&lt;&gt;"",P20&lt;TODAY()),"Overdue","Unpaid"))))</x:f>
        <x:v>Paid</x:v>
      </x:c>
      <x:c r="R20" s="42" t="n">
        <x:v>46100</x:v>
      </x:c>
      <x:c r="S20" s="42" t="n">
        <x:v>46130</x:v>
      </x:c>
      <x:c r="T20" s="37" t="str">
        <x:v>RCPT-0015</x:v>
      </x:c>
      <x:c r="U20" s="37" t="str">
        <x:v>Demo sale</x:v>
      </x:c>
    </x:row>
    <x:row r="21">
      <x:c r="A21" s="37" t="str">
        <x:v>DEMO</x:v>
      </x:c>
      <x:c r="B21" s="59" t="str">
        <x:f>IF(C21="","","INV-"&amp;TEXT(C21,"yymmdd")&amp;"-"&amp;TEXT(ROW()-5,"0000"))</x:f>
        <x:v>INV-260324-0016</x:v>
      </x:c>
      <x:c r="C21" s="42" t="n">
        <x:v>46105</x:v>
      </x:c>
      <x:c r="D21" s="37" t="str">
        <x:v>MBR-0004</x:v>
      </x:c>
      <x:c r="E21" s="63" t="str">
        <x:f>IFERROR(INDEX('02_MEMBERS'!$C$6:$C$105,MATCH(D21,'02_MEMBERS'!$B$6:$B$105,0)),"")</x:f>
        <x:v>Nina Maharjan</x:v>
      </x:c>
      <x:c r="F21" s="63" t="str">
        <x:f>IFERROR(INDEX('02_MEMBERS'!$G$6:$G$105,MATCH(D21,'02_MEMBERS'!$B$6:$B$105,0)),"")</x:f>
        <x:v>Main Studio</x:v>
      </x:c>
      <x:c r="G21" s="37" t="str">
        <x:v>Membership</x:v>
      </x:c>
      <x:c r="H21" s="37" t="str">
        <x:v>Monthly 8</x:v>
      </x:c>
      <x:c r="I21" s="44" t="n">
        <x:v>12000</x:v>
      </x:c>
      <x:c r="J21" s="44" t="n">
        <x:v>0</x:v>
      </x:c>
      <x:c r="K21" s="44" t="n">
        <x:v>0</x:v>
      </x:c>
      <x:c r="L21" s="76" t="n">
        <x:f>IF(I21="","",MAX(0,I21-J21+K21))</x:f>
        <x:v>12000</x:v>
      </x:c>
      <x:c r="M21" s="44" t="n">
        <x:v>12000</x:v>
      </x:c>
      <x:c r="N21" s="76" t="n">
        <x:f>IF(L21="","",MAX(0,L21-M21))</x:f>
        <x:v>0</x:v>
      </x:c>
      <x:c r="O21" s="37" t="str">
        <x:v>Cash</x:v>
      </x:c>
      <x:c r="P21" s="42" t="n">
        <x:v>46112</x:v>
      </x:c>
      <x:c r="Q21" s="59" t="str">
        <x:f>IF(L21="","",IF(N21&lt;=0,"Paid",IF(M21&gt;0,"Partial",IF(AND(P21&lt;&gt;"",P21&lt;TODAY()),"Overdue","Unpaid"))))</x:f>
        <x:v>Paid</x:v>
      </x:c>
      <x:c r="R21" s="42" t="n">
        <x:v>46105</x:v>
      </x:c>
      <x:c r="S21" s="42" t="n">
        <x:v>46135</x:v>
      </x:c>
      <x:c r="T21" s="37" t="str">
        <x:v>RCPT-0016</x:v>
      </x:c>
      <x:c r="U21" s="37" t="str">
        <x:v>Demo sale</x:v>
      </x:c>
    </x:row>
    <x:row r="22">
      <x:c r="A22" s="37" t="str">
        <x:v>DEMO</x:v>
      </x:c>
      <x:c r="B22" s="59" t="str">
        <x:f>IF(C22="","","INV-"&amp;TEXT(C22,"yymmdd")&amp;"-"&amp;TEXT(ROW()-5,"0000"))</x:f>
        <x:v>INV-260329-0017</x:v>
      </x:c>
      <x:c r="C22" s="42" t="n">
        <x:v>46110</x:v>
      </x:c>
      <x:c r="D22" s="37" t="str">
        <x:v>MBR-0005</x:v>
      </x:c>
      <x:c r="E22" s="63" t="str">
        <x:f>IFERROR(INDEX('02_MEMBERS'!$C$6:$C$105,MATCH(D22,'02_MEMBERS'!$B$6:$B$105,0)),"")</x:f>
        <x:v>Samira Rana</x:v>
      </x:c>
      <x:c r="F22" s="63" t="str">
        <x:f>IFERROR(INDEX('02_MEMBERS'!$G$6:$G$105,MATCH(D22,'02_MEMBERS'!$B$6:$B$105,0)),"")</x:f>
        <x:v>Main Studio</x:v>
      </x:c>
      <x:c r="G22" s="37" t="str">
        <x:v>Membership</x:v>
      </x:c>
      <x:c r="H22" s="37" t="str">
        <x:v>Private 5</x:v>
      </x:c>
      <x:c r="I22" s="44" t="n">
        <x:v>16000</x:v>
      </x:c>
      <x:c r="J22" s="44" t="n">
        <x:v>0</x:v>
      </x:c>
      <x:c r="K22" s="44" t="n">
        <x:v>0</x:v>
      </x:c>
      <x:c r="L22" s="76" t="n">
        <x:f>IF(I22="","",MAX(0,I22-J22+K22))</x:f>
        <x:v>16000</x:v>
      </x:c>
      <x:c r="M22" s="44" t="n">
        <x:v>16000</x:v>
      </x:c>
      <x:c r="N22" s="76" t="n">
        <x:f>IF(L22="","",MAX(0,L22-M22))</x:f>
        <x:v>0</x:v>
      </x:c>
      <x:c r="O22" s="37" t="str">
        <x:v>Bank Transfer</x:v>
      </x:c>
      <x:c r="P22" s="42" t="n">
        <x:v>46117</x:v>
      </x:c>
      <x:c r="Q22" s="59" t="str">
        <x:f>IF(L22="","",IF(N22&lt;=0,"Paid",IF(M22&gt;0,"Partial",IF(AND(P22&lt;&gt;"",P22&lt;TODAY()),"Overdue","Unpaid"))))</x:f>
        <x:v>Paid</x:v>
      </x:c>
      <x:c r="R22" s="42" t="n">
        <x:v>46110</x:v>
      </x:c>
      <x:c r="S22" s="42" t="n">
        <x:v>46140</x:v>
      </x:c>
      <x:c r="T22" s="37" t="str">
        <x:v>RCPT-0017</x:v>
      </x:c>
      <x:c r="U22" s="37" t="str">
        <x:v>Demo sale</x:v>
      </x:c>
    </x:row>
    <x:row r="23">
      <x:c r="A23" s="37" t="str">
        <x:v>DEMO</x:v>
      </x:c>
      <x:c r="B23" s="59" t="str">
        <x:f>IF(C23="","","INV-"&amp;TEXT(C23,"yymmdd")&amp;"-"&amp;TEXT(ROW()-5,"0000"))</x:f>
        <x:v>INV-260403-0018</x:v>
      </x:c>
      <x:c r="C23" s="42" t="n">
        <x:v>46115</x:v>
      </x:c>
      <x:c r="D23" s="37" t="str">
        <x:v>MBR-0006</x:v>
      </x:c>
      <x:c r="E23" s="63" t="str">
        <x:f>IFERROR(INDEX('02_MEMBERS'!$C$6:$C$105,MATCH(D23,'02_MEMBERS'!$B$6:$B$105,0)),"")</x:f>
        <x:v>Isha Bista</x:v>
      </x:c>
      <x:c r="F23" s="63" t="str">
        <x:f>IFERROR(INDEX('02_MEMBERS'!$G$6:$G$105,MATCH(D23,'02_MEMBERS'!$B$6:$B$105,0)),"")</x:f>
        <x:v>Main Studio</x:v>
      </x:c>
      <x:c r="G23" s="37" t="str">
        <x:v>Membership</x:v>
      </x:c>
      <x:c r="H23" s="37" t="str">
        <x:v>Monthly 12</x:v>
      </x:c>
      <x:c r="I23" s="44" t="n">
        <x:v>22000</x:v>
      </x:c>
      <x:c r="J23" s="44" t="n">
        <x:v>0</x:v>
      </x:c>
      <x:c r="K23" s="44" t="n">
        <x:v>0</x:v>
      </x:c>
      <x:c r="L23" s="76" t="n">
        <x:f>IF(I23="","",MAX(0,I23-J23+K23))</x:f>
        <x:v>22000</x:v>
      </x:c>
      <x:c r="M23" s="44" t="n">
        <x:v>22000</x:v>
      </x:c>
      <x:c r="N23" s="76" t="n">
        <x:f>IF(L23="","",MAX(0,L23-M23))</x:f>
        <x:v>0</x:v>
      </x:c>
      <x:c r="O23" s="37" t="str">
        <x:v>Card</x:v>
      </x:c>
      <x:c r="P23" s="42" t="n">
        <x:v>46122</x:v>
      </x:c>
      <x:c r="Q23" s="59" t="str">
        <x:f>IF(L23="","",IF(N23&lt;=0,"Paid",IF(M23&gt;0,"Partial",IF(AND(P23&lt;&gt;"",P23&lt;TODAY()),"Overdue","Unpaid"))))</x:f>
        <x:v>Paid</x:v>
      </x:c>
      <x:c r="R23" s="42" t="n">
        <x:v>46115</x:v>
      </x:c>
      <x:c r="S23" s="42" t="n">
        <x:v>46145</x:v>
      </x:c>
      <x:c r="T23" s="37" t="str">
        <x:v>RCPT-0018</x:v>
      </x:c>
      <x:c r="U23" s="37" t="str">
        <x:v>Demo sale</x:v>
      </x:c>
    </x:row>
    <x:row r="24">
      <x:c r="A24" s="37" t="str">
        <x:v>DEMO</x:v>
      </x:c>
      <x:c r="B24" s="59" t="str">
        <x:f>IF(C24="","","INV-"&amp;TEXT(C24,"yymmdd")&amp;"-"&amp;TEXT(ROW()-5,"0000"))</x:f>
        <x:v>INV-260408-0019</x:v>
      </x:c>
      <x:c r="C24" s="42" t="n">
        <x:v>46120</x:v>
      </x:c>
      <x:c r="D24" s="37" t="str">
        <x:v>MBR-0007</x:v>
      </x:c>
      <x:c r="E24" s="63" t="str">
        <x:f>IFERROR(INDEX('02_MEMBERS'!$C$6:$C$105,MATCH(D24,'02_MEMBERS'!$B$6:$B$105,0)),"")</x:f>
        <x:v>Anu KC</x:v>
      </x:c>
      <x:c r="F24" s="63" t="str">
        <x:f>IFERROR(INDEX('02_MEMBERS'!$G$6:$G$105,MATCH(D24,'02_MEMBERS'!$B$6:$B$105,0)),"")</x:f>
        <x:v>Main Studio</x:v>
      </x:c>
      <x:c r="G24" s="37" t="str">
        <x:v>Membership</x:v>
      </x:c>
      <x:c r="H24" s="37" t="str">
        <x:v>Quarterly 24</x:v>
      </x:c>
      <x:c r="I24" s="44" t="n">
        <x:v>8000</x:v>
      </x:c>
      <x:c r="J24" s="44" t="n">
        <x:v>0</x:v>
      </x:c>
      <x:c r="K24" s="44" t="n">
        <x:v>0</x:v>
      </x:c>
      <x:c r="L24" s="76" t="n">
        <x:f>IF(I24="","",MAX(0,I24-J24+K24))</x:f>
        <x:v>8000</x:v>
      </x:c>
      <x:c r="M24" s="44" t="n">
        <x:v>5000</x:v>
      </x:c>
      <x:c r="N24" s="76" t="n">
        <x:f>IF(L24="","",MAX(0,L24-M24))</x:f>
        <x:v>3000</x:v>
      </x:c>
      <x:c r="O24" s="37" t="str">
        <x:v>Mobile Wallet</x:v>
      </x:c>
      <x:c r="P24" s="42" t="n">
        <x:v>46127</x:v>
      </x:c>
      <x:c r="Q24" s="59" t="str">
        <x:f>IF(L24="","",IF(N24&lt;=0,"Paid",IF(M24&gt;0,"Partial",IF(AND(P24&lt;&gt;"",P24&lt;TODAY()),"Overdue","Unpaid"))))</x:f>
        <x:v>Partial</x:v>
      </x:c>
      <x:c r="R24" s="42" t="n">
        <x:v>46120</x:v>
      </x:c>
      <x:c r="S24" s="42" t="n">
        <x:v>46150</x:v>
      </x:c>
      <x:c r="T24" s="37" t="str">
        <x:v>RCPT-0019</x:v>
      </x:c>
      <x:c r="U24" s="37" t="str">
        <x:v>Demo sale</x:v>
      </x:c>
    </x:row>
    <x:row r="25">
      <x:c r="A25" s="37" t="str">
        <x:v>DEMO</x:v>
      </x:c>
      <x:c r="B25" s="59" t="str">
        <x:f>IF(C25="","","INV-"&amp;TEXT(C25,"yymmdd")&amp;"-"&amp;TEXT(ROW()-5,"0000"))</x:f>
        <x:v>INV-260413-0020</x:v>
      </x:c>
      <x:c r="C25" s="42" t="n">
        <x:v>46125</x:v>
      </x:c>
      <x:c r="D25" s="37" t="str">
        <x:v>MBR-0008</x:v>
      </x:c>
      <x:c r="E25" s="63" t="str">
        <x:f>IFERROR(INDEX('02_MEMBERS'!$C$6:$C$105,MATCH(D25,'02_MEMBERS'!$B$6:$B$105,0)),"")</x:f>
        <x:v>Roshni Lama</x:v>
      </x:c>
      <x:c r="F25" s="63" t="str">
        <x:f>IFERROR(INDEX('02_MEMBERS'!$G$6:$G$105,MATCH(D25,'02_MEMBERS'!$B$6:$B$105,0)),"")</x:f>
        <x:v>Main Studio</x:v>
      </x:c>
      <x:c r="G25" s="37" t="str">
        <x:v>Membership</x:v>
      </x:c>
      <x:c r="H25" s="37" t="str">
        <x:v>Monthly 8</x:v>
      </x:c>
      <x:c r="I25" s="44" t="n">
        <x:v>30000</x:v>
      </x:c>
      <x:c r="J25" s="44" t="n">
        <x:v>0</x:v>
      </x:c>
      <x:c r="K25" s="44" t="n">
        <x:v>0</x:v>
      </x:c>
      <x:c r="L25" s="76" t="n">
        <x:f>IF(I25="","",MAX(0,I25-J25+K25))</x:f>
        <x:v>30000</x:v>
      </x:c>
      <x:c r="M25" s="44" t="n">
        <x:v>30000</x:v>
      </x:c>
      <x:c r="N25" s="76" t="n">
        <x:f>IF(L25="","",MAX(0,L25-M25))</x:f>
        <x:v>0</x:v>
      </x:c>
      <x:c r="O25" s="37" t="str">
        <x:v>Cash</x:v>
      </x:c>
      <x:c r="P25" s="42" t="n">
        <x:v>46132</x:v>
      </x:c>
      <x:c r="Q25" s="59" t="str">
        <x:f>IF(L25="","",IF(N25&lt;=0,"Paid",IF(M25&gt;0,"Partial",IF(AND(P25&lt;&gt;"",P25&lt;TODAY()),"Overdue","Unpaid"))))</x:f>
        <x:v>Paid</x:v>
      </x:c>
      <x:c r="R25" s="42" t="n">
        <x:v>46125</x:v>
      </x:c>
      <x:c r="S25" s="42" t="n">
        <x:v>46155</x:v>
      </x:c>
      <x:c r="T25" s="37" t="str">
        <x:v>RCPT-0020</x:v>
      </x:c>
      <x:c r="U25" s="37" t="str">
        <x:v>Demo sale</x:v>
      </x:c>
    </x:row>
    <x:row r="26">
      <x:c r="A26" s="37" t="str">
        <x:v>DEMO</x:v>
      </x:c>
      <x:c r="B26" s="59" t="str">
        <x:f>IF(C26="","","INV-"&amp;TEXT(C26,"yymmdd")&amp;"-"&amp;TEXT(ROW()-5,"0000"))</x:f>
        <x:v>INV-260418-0021</x:v>
      </x:c>
      <x:c r="C26" s="42" t="n">
        <x:v>46130</x:v>
      </x:c>
      <x:c r="D26" s="37" t="str">
        <x:v>MBR-0009</x:v>
      </x:c>
      <x:c r="E26" s="63" t="str">
        <x:f>IFERROR(INDEX('02_MEMBERS'!$C$6:$C$105,MATCH(D26,'02_MEMBERS'!$B$6:$B$105,0)),"")</x:f>
        <x:v>Kritika Poudel</x:v>
      </x:c>
      <x:c r="F26" s="63" t="str">
        <x:f>IFERROR(INDEX('02_MEMBERS'!$G$6:$G$105,MATCH(D26,'02_MEMBERS'!$B$6:$B$105,0)),"")</x:f>
        <x:v>Main Studio</x:v>
      </x:c>
      <x:c r="G26" s="37" t="str">
        <x:v>Membership</x:v>
      </x:c>
      <x:c r="H26" s="37" t="str">
        <x:v>Unlimited Monthly</x:v>
      </x:c>
      <x:c r="I26" s="44" t="n">
        <x:v>12000</x:v>
      </x:c>
      <x:c r="J26" s="44" t="n">
        <x:v>0</x:v>
      </x:c>
      <x:c r="K26" s="44" t="n">
        <x:v>0</x:v>
      </x:c>
      <x:c r="L26" s="76" t="n">
        <x:f>IF(I26="","",MAX(0,I26-J26+K26))</x:f>
        <x:v>12000</x:v>
      </x:c>
      <x:c r="M26" s="44" t="n">
        <x:v>12000</x:v>
      </x:c>
      <x:c r="N26" s="76" t="n">
        <x:f>IF(L26="","",MAX(0,L26-M26))</x:f>
        <x:v>0</x:v>
      </x:c>
      <x:c r="O26" s="37" t="str">
        <x:v>Bank Transfer</x:v>
      </x:c>
      <x:c r="P26" s="42" t="n">
        <x:v>46137</x:v>
      </x:c>
      <x:c r="Q26" s="59" t="str">
        <x:f>IF(L26="","",IF(N26&lt;=0,"Paid",IF(M26&gt;0,"Partial",IF(AND(P26&lt;&gt;"",P26&lt;TODAY()),"Overdue","Unpaid"))))</x:f>
        <x:v>Paid</x:v>
      </x:c>
      <x:c r="R26" s="42" t="n">
        <x:v>46130</x:v>
      </x:c>
      <x:c r="S26" s="42" t="n">
        <x:v>46160</x:v>
      </x:c>
      <x:c r="T26" s="37" t="str">
        <x:v>RCPT-0021</x:v>
      </x:c>
      <x:c r="U26" s="37" t="str">
        <x:v>Demo sale</x:v>
      </x:c>
    </x:row>
    <x:row r="27">
      <x:c r="A27" s="37" t="str">
        <x:v>DEMO</x:v>
      </x:c>
      <x:c r="B27" s="59" t="str">
        <x:f>IF(C27="","","INV-"&amp;TEXT(C27,"yymmdd")&amp;"-"&amp;TEXT(ROW()-5,"0000"))</x:f>
        <x:v>INV-260423-0022</x:v>
      </x:c>
      <x:c r="C27" s="42" t="n">
        <x:v>46135</x:v>
      </x:c>
      <x:c r="D27" s="37" t="str">
        <x:v>MBR-0010</x:v>
      </x:c>
      <x:c r="E27" s="63" t="str">
        <x:f>IFERROR(INDEX('02_MEMBERS'!$C$6:$C$105,MATCH(D27,'02_MEMBERS'!$B$6:$B$105,0)),"")</x:f>
        <x:v>Neha Shahi</x:v>
      </x:c>
      <x:c r="F27" s="63" t="str">
        <x:f>IFERROR(INDEX('02_MEMBERS'!$G$6:$G$105,MATCH(D27,'02_MEMBERS'!$B$6:$B$105,0)),"")</x:f>
        <x:v>Main Studio</x:v>
      </x:c>
      <x:c r="G27" s="37" t="str">
        <x:v>Membership</x:v>
      </x:c>
      <x:c r="H27" s="37" t="str">
        <x:v>Monthly 12</x:v>
      </x:c>
      <x:c r="I27" s="44" t="n">
        <x:v>16000</x:v>
      </x:c>
      <x:c r="J27" s="44" t="n">
        <x:v>0</x:v>
      </x:c>
      <x:c r="K27" s="44" t="n">
        <x:v>0</x:v>
      </x:c>
      <x:c r="L27" s="76" t="n">
        <x:f>IF(I27="","",MAX(0,I27-J27+K27))</x:f>
        <x:v>16000</x:v>
      </x:c>
      <x:c r="M27" s="44" t="n">
        <x:v>16000</x:v>
      </x:c>
      <x:c r="N27" s="76" t="n">
        <x:f>IF(L27="","",MAX(0,L27-M27))</x:f>
        <x:v>0</x:v>
      </x:c>
      <x:c r="O27" s="37" t="str">
        <x:v>Card</x:v>
      </x:c>
      <x:c r="P27" s="42" t="n">
        <x:v>46142</x:v>
      </x:c>
      <x:c r="Q27" s="59" t="str">
        <x:f>IF(L27="","",IF(N27&lt;=0,"Paid",IF(M27&gt;0,"Partial",IF(AND(P27&lt;&gt;"",P27&lt;TODAY()),"Overdue","Unpaid"))))</x:f>
        <x:v>Paid</x:v>
      </x:c>
      <x:c r="R27" s="42" t="n">
        <x:v>46135</x:v>
      </x:c>
      <x:c r="S27" s="42" t="n">
        <x:v>46165</x:v>
      </x:c>
      <x:c r="T27" s="37" t="str">
        <x:v>RCPT-0022</x:v>
      </x:c>
      <x:c r="U27" s="37" t="str">
        <x:v>Demo sale</x:v>
      </x:c>
    </x:row>
    <x:row r="28">
      <x:c r="A28" s="37" t="str">
        <x:v>DEMO</x:v>
      </x:c>
      <x:c r="B28" s="59" t="str">
        <x:f>IF(C28="","","INV-"&amp;TEXT(C28,"yymmdd")&amp;"-"&amp;TEXT(ROW()-5,"0000"))</x:f>
        <x:v>INV-260428-0023</x:v>
      </x:c>
      <x:c r="C28" s="42" t="n">
        <x:v>46140</x:v>
      </x:c>
      <x:c r="D28" s="37" t="str">
        <x:v>MBR-0011</x:v>
      </x:c>
      <x:c r="E28" s="63" t="str">
        <x:f>IFERROR(INDEX('02_MEMBERS'!$C$6:$C$105,MATCH(D28,'02_MEMBERS'!$B$6:$B$105,0)),"")</x:f>
        <x:v>Puja Tamang</x:v>
      </x:c>
      <x:c r="F28" s="63" t="str">
        <x:f>IFERROR(INDEX('02_MEMBERS'!$G$6:$G$105,MATCH(D28,'02_MEMBERS'!$B$6:$B$105,0)),"")</x:f>
        <x:v>Main Studio</x:v>
      </x:c>
      <x:c r="G28" s="37" t="str">
        <x:v>Membership</x:v>
      </x:c>
      <x:c r="H28" s="37" t="str">
        <x:v>Monthly 8</x:v>
      </x:c>
      <x:c r="I28" s="44" t="n">
        <x:v>22000</x:v>
      </x:c>
      <x:c r="J28" s="44" t="n">
        <x:v>0</x:v>
      </x:c>
      <x:c r="K28" s="44" t="n">
        <x:v>0</x:v>
      </x:c>
      <x:c r="L28" s="76" t="n">
        <x:f>IF(I28="","",MAX(0,I28-J28+K28))</x:f>
        <x:v>22000</x:v>
      </x:c>
      <x:c r="M28" s="44" t="n">
        <x:v>22000</x:v>
      </x:c>
      <x:c r="N28" s="76" t="n">
        <x:f>IF(L28="","",MAX(0,L28-M28))</x:f>
        <x:v>0</x:v>
      </x:c>
      <x:c r="O28" s="37" t="str">
        <x:v>Mobile Wallet</x:v>
      </x:c>
      <x:c r="P28" s="42" t="n">
        <x:v>46147</x:v>
      </x:c>
      <x:c r="Q28" s="59" t="str">
        <x:f>IF(L28="","",IF(N28&lt;=0,"Paid",IF(M28&gt;0,"Partial",IF(AND(P28&lt;&gt;"",P28&lt;TODAY()),"Overdue","Unpaid"))))</x:f>
        <x:v>Paid</x:v>
      </x:c>
      <x:c r="R28" s="42" t="n">
        <x:v>46140</x:v>
      </x:c>
      <x:c r="S28" s="42" t="n">
        <x:v>46170</x:v>
      </x:c>
      <x:c r="T28" s="37" t="str">
        <x:v>RCPT-0023</x:v>
      </x:c>
      <x:c r="U28" s="37" t="str">
        <x:v>Demo sale</x:v>
      </x:c>
    </x:row>
    <x:row r="29">
      <x:c r="A29" s="37" t="str">
        <x:v>DEMO</x:v>
      </x:c>
      <x:c r="B29" s="59" t="str">
        <x:f>IF(C29="","","INV-"&amp;TEXT(C29,"yymmdd")&amp;"-"&amp;TEXT(ROW()-5,"0000"))</x:f>
        <x:v>INV-260503-0024</x:v>
      </x:c>
      <x:c r="C29" s="42" t="n">
        <x:v>46145</x:v>
      </x:c>
      <x:c r="D29" s="37" t="str">
        <x:v>MBR-0012</x:v>
      </x:c>
      <x:c r="E29" s="63" t="str">
        <x:f>IFERROR(INDEX('02_MEMBERS'!$C$6:$C$105,MATCH(D29,'02_MEMBERS'!$B$6:$B$105,0)),"")</x:f>
        <x:v>Sushma Adhikari</x:v>
      </x:c>
      <x:c r="F29" s="63" t="str">
        <x:f>IFERROR(INDEX('02_MEMBERS'!$G$6:$G$105,MATCH(D29,'02_MEMBERS'!$B$6:$B$105,0)),"")</x:f>
        <x:v>Main Studio</x:v>
      </x:c>
      <x:c r="G29" s="37" t="str">
        <x:v>Membership</x:v>
      </x:c>
      <x:c r="H29" s="37" t="str">
        <x:v>Private 5</x:v>
      </x:c>
      <x:c r="I29" s="44" t="n">
        <x:v>8000</x:v>
      </x:c>
      <x:c r="J29" s="44" t="n">
        <x:v>0</x:v>
      </x:c>
      <x:c r="K29" s="44" t="n">
        <x:v>0</x:v>
      </x:c>
      <x:c r="L29" s="76" t="n">
        <x:f>IF(I29="","",MAX(0,I29-J29+K29))</x:f>
        <x:v>8000</x:v>
      </x:c>
      <x:c r="M29" s="44" t="n">
        <x:v>8000</x:v>
      </x:c>
      <x:c r="N29" s="76" t="n">
        <x:f>IF(L29="","",MAX(0,L29-M29))</x:f>
        <x:v>0</x:v>
      </x:c>
      <x:c r="O29" s="37" t="str">
        <x:v>Cash</x:v>
      </x:c>
      <x:c r="P29" s="42" t="n">
        <x:v>46152</x:v>
      </x:c>
      <x:c r="Q29" s="59" t="str">
        <x:f>IF(L29="","",IF(N29&lt;=0,"Paid",IF(M29&gt;0,"Partial",IF(AND(P29&lt;&gt;"",P29&lt;TODAY()),"Overdue","Unpaid"))))</x:f>
        <x:v>Paid</x:v>
      </x:c>
      <x:c r="R29" s="42" t="n">
        <x:v>46145</x:v>
      </x:c>
      <x:c r="S29" s="42" t="n">
        <x:v>46175</x:v>
      </x:c>
      <x:c r="T29" s="37" t="str">
        <x:v>RCPT-0024</x:v>
      </x:c>
      <x:c r="U29" s="37" t="str">
        <x:v>Demo sale</x:v>
      </x:c>
    </x:row>
    <x:row r="30">
      <x:c r="A30" s="37" t="str">
        <x:v>DEMO</x:v>
      </x:c>
      <x:c r="B30" s="59" t="str">
        <x:f>IF(C30="","","INV-"&amp;TEXT(C30,"yymmdd")&amp;"-"&amp;TEXT(ROW()-5,"0000"))</x:f>
        <x:v>INV-260508-0025</x:v>
      </x:c>
      <x:c r="C30" s="42" t="n">
        <x:v>46150</x:v>
      </x:c>
      <x:c r="D30" s="37" t="str">
        <x:v>MBR-0001</x:v>
      </x:c>
      <x:c r="E30" s="63" t="str">
        <x:f>IFERROR(INDEX('02_MEMBERS'!$C$6:$C$105,MATCH(D30,'02_MEMBERS'!$B$6:$B$105,0)),"")</x:f>
        <x:v>Aarati Karki</x:v>
      </x:c>
      <x:c r="F30" s="63" t="str">
        <x:f>IFERROR(INDEX('02_MEMBERS'!$G$6:$G$105,MATCH(D30,'02_MEMBERS'!$B$6:$B$105,0)),"")</x:f>
        <x:v>Main Studio</x:v>
      </x:c>
      <x:c r="G30" s="37" t="str">
        <x:v>Membership</x:v>
      </x:c>
      <x:c r="H30" s="37" t="str">
        <x:v>Monthly 8</x:v>
      </x:c>
      <x:c r="I30" s="44" t="n">
        <x:v>30000</x:v>
      </x:c>
      <x:c r="J30" s="44" t="n">
        <x:v>0</x:v>
      </x:c>
      <x:c r="K30" s="44" t="n">
        <x:v>0</x:v>
      </x:c>
      <x:c r="L30" s="76" t="n">
        <x:f>IF(I30="","",MAX(0,I30-J30+K30))</x:f>
        <x:v>30000</x:v>
      </x:c>
      <x:c r="M30" s="44" t="n">
        <x:v>30000</x:v>
      </x:c>
      <x:c r="N30" s="76" t="n">
        <x:f>IF(L30="","",MAX(0,L30-M30))</x:f>
        <x:v>0</x:v>
      </x:c>
      <x:c r="O30" s="37" t="str">
        <x:v>Bank Transfer</x:v>
      </x:c>
      <x:c r="P30" s="42" t="n">
        <x:v>46157</x:v>
      </x:c>
      <x:c r="Q30" s="59" t="str">
        <x:f>IF(L30="","",IF(N30&lt;=0,"Paid",IF(M30&gt;0,"Partial",IF(AND(P30&lt;&gt;"",P30&lt;TODAY()),"Overdue","Unpaid"))))</x:f>
        <x:v>Paid</x:v>
      </x:c>
      <x:c r="R30" s="42" t="n">
        <x:v>46150</x:v>
      </x:c>
      <x:c r="S30" s="42" t="n">
        <x:v>46180</x:v>
      </x:c>
      <x:c r="T30" s="37" t="str">
        <x:v>RCPT-0025</x:v>
      </x:c>
      <x:c r="U30" s="37" t="str">
        <x:v>Demo sale</x:v>
      </x:c>
    </x:row>
    <x:row r="31">
      <x:c r="A31" s="37" t="str">
        <x:v>DEMO</x:v>
      </x:c>
      <x:c r="B31" s="59" t="str">
        <x:f>IF(C31="","","INV-"&amp;TEXT(C31,"yymmdd")&amp;"-"&amp;TEXT(ROW()-5,"0000"))</x:f>
        <x:v>INV-260513-0026</x:v>
      </x:c>
      <x:c r="C31" s="42" t="n">
        <x:v>46155</x:v>
      </x:c>
      <x:c r="D31" s="37" t="str">
        <x:v>MBR-0002</x:v>
      </x:c>
      <x:c r="E31" s="63" t="str">
        <x:f>IFERROR(INDEX('02_MEMBERS'!$C$6:$C$105,MATCH(D31,'02_MEMBERS'!$B$6:$B$105,0)),"")</x:f>
        <x:v>Sneha Joshi</x:v>
      </x:c>
      <x:c r="F31" s="63" t="str">
        <x:f>IFERROR(INDEX('02_MEMBERS'!$G$6:$G$105,MATCH(D31,'02_MEMBERS'!$B$6:$B$105,0)),"")</x:f>
        <x:v>Main Studio</x:v>
      </x:c>
      <x:c r="G31" s="37" t="str">
        <x:v>Membership</x:v>
      </x:c>
      <x:c r="H31" s="37" t="str">
        <x:v>Monthly 12</x:v>
      </x:c>
      <x:c r="I31" s="44" t="n">
        <x:v>12000</x:v>
      </x:c>
      <x:c r="J31" s="44" t="n">
        <x:v>0</x:v>
      </x:c>
      <x:c r="K31" s="44" t="n">
        <x:v>0</x:v>
      </x:c>
      <x:c r="L31" s="76" t="n">
        <x:f>IF(I31="","",MAX(0,I31-J31+K31))</x:f>
        <x:v>12000</x:v>
      </x:c>
      <x:c r="M31" s="44" t="n">
        <x:v>12000</x:v>
      </x:c>
      <x:c r="N31" s="76" t="n">
        <x:f>IF(L31="","",MAX(0,L31-M31))</x:f>
        <x:v>0</x:v>
      </x:c>
      <x:c r="O31" s="37" t="str">
        <x:v>Card</x:v>
      </x:c>
      <x:c r="P31" s="42" t="n">
        <x:v>46162</x:v>
      </x:c>
      <x:c r="Q31" s="59" t="str">
        <x:f>IF(L31="","",IF(N31&lt;=0,"Paid",IF(M31&gt;0,"Partial",IF(AND(P31&lt;&gt;"",P31&lt;TODAY()),"Overdue","Unpaid"))))</x:f>
        <x:v>Paid</x:v>
      </x:c>
      <x:c r="R31" s="42" t="n">
        <x:v>46155</x:v>
      </x:c>
      <x:c r="S31" s="42" t="n">
        <x:v>46185</x:v>
      </x:c>
      <x:c r="T31" s="37" t="str">
        <x:v>RCPT-0026</x:v>
      </x:c>
      <x:c r="U31" s="37" t="str">
        <x:v>Demo sale</x:v>
      </x:c>
    </x:row>
    <x:row r="32">
      <x:c r="A32" s="37" t="str">
        <x:v>DEMO</x:v>
      </x:c>
      <x:c r="B32" s="59" t="str">
        <x:f>IF(C32="","","INV-"&amp;TEXT(C32,"yymmdd")&amp;"-"&amp;TEXT(ROW()-5,"0000"))</x:f>
        <x:v>INV-260518-0027</x:v>
      </x:c>
      <x:c r="C32" s="42" t="n">
        <x:v>46160</x:v>
      </x:c>
      <x:c r="D32" s="37" t="str">
        <x:v>MBR-0003</x:v>
      </x:c>
      <x:c r="E32" s="63" t="str">
        <x:f>IFERROR(INDEX('02_MEMBERS'!$C$6:$C$105,MATCH(D32,'02_MEMBERS'!$B$6:$B$105,0)),"")</x:f>
        <x:v>Prerana Shrestha</x:v>
      </x:c>
      <x:c r="F32" s="63" t="str">
        <x:f>IFERROR(INDEX('02_MEMBERS'!$G$6:$G$105,MATCH(D32,'02_MEMBERS'!$B$6:$B$105,0)),"")</x:f>
        <x:v>Main Studio</x:v>
      </x:c>
      <x:c r="G32" s="37" t="str">
        <x:v>Membership</x:v>
      </x:c>
      <x:c r="H32" s="37" t="str">
        <x:v>Unlimited Monthly</x:v>
      </x:c>
      <x:c r="I32" s="44" t="n">
        <x:v>16000</x:v>
      </x:c>
      <x:c r="J32" s="44" t="n">
        <x:v>0</x:v>
      </x:c>
      <x:c r="K32" s="44" t="n">
        <x:v>0</x:v>
      </x:c>
      <x:c r="L32" s="76" t="n">
        <x:f>IF(I32="","",MAX(0,I32-J32+K32))</x:f>
        <x:v>16000</x:v>
      </x:c>
      <x:c r="M32" s="44" t="n">
        <x:v>16000</x:v>
      </x:c>
      <x:c r="N32" s="76" t="n">
        <x:f>IF(L32="","",MAX(0,L32-M32))</x:f>
        <x:v>0</x:v>
      </x:c>
      <x:c r="O32" s="37" t="str">
        <x:v>Mobile Wallet</x:v>
      </x:c>
      <x:c r="P32" s="42" t="n">
        <x:v>46167</x:v>
      </x:c>
      <x:c r="Q32" s="59" t="str">
        <x:f>IF(L32="","",IF(N32&lt;=0,"Paid",IF(M32&gt;0,"Partial",IF(AND(P32&lt;&gt;"",P32&lt;TODAY()),"Overdue","Unpaid"))))</x:f>
        <x:v>Paid</x:v>
      </x:c>
      <x:c r="R32" s="42" t="n">
        <x:v>46160</x:v>
      </x:c>
      <x:c r="S32" s="42" t="n">
        <x:v>46190</x:v>
      </x:c>
      <x:c r="T32" s="37" t="str">
        <x:v>RCPT-0027</x:v>
      </x:c>
      <x:c r="U32" s="37" t="str">
        <x:v>Demo sale</x:v>
      </x:c>
    </x:row>
    <x:row r="33">
      <x:c r="A33" s="37" t="str">
        <x:v>DEMO</x:v>
      </x:c>
      <x:c r="B33" s="59" t="str">
        <x:f>IF(C33="","","INV-"&amp;TEXT(C33,"yymmdd")&amp;"-"&amp;TEXT(ROW()-5,"0000"))</x:f>
        <x:v>INV-260523-0028</x:v>
      </x:c>
      <x:c r="C33" s="42" t="n">
        <x:v>46165</x:v>
      </x:c>
      <x:c r="D33" s="37" t="str">
        <x:v>MBR-0004</x:v>
      </x:c>
      <x:c r="E33" s="63" t="str">
        <x:f>IFERROR(INDEX('02_MEMBERS'!$C$6:$C$105,MATCH(D33,'02_MEMBERS'!$B$6:$B$105,0)),"")</x:f>
        <x:v>Nina Maharjan</x:v>
      </x:c>
      <x:c r="F33" s="63" t="str">
        <x:f>IFERROR(INDEX('02_MEMBERS'!$G$6:$G$105,MATCH(D33,'02_MEMBERS'!$B$6:$B$105,0)),"")</x:f>
        <x:v>Main Studio</x:v>
      </x:c>
      <x:c r="G33" s="37" t="str">
        <x:v>Membership</x:v>
      </x:c>
      <x:c r="H33" s="37" t="str">
        <x:v>Monthly 8</x:v>
      </x:c>
      <x:c r="I33" s="44" t="n">
        <x:v>22000</x:v>
      </x:c>
      <x:c r="J33" s="44" t="n">
        <x:v>0</x:v>
      </x:c>
      <x:c r="K33" s="44" t="n">
        <x:v>0</x:v>
      </x:c>
      <x:c r="L33" s="76" t="n">
        <x:f>IF(I33="","",MAX(0,I33-J33+K33))</x:f>
        <x:v>22000</x:v>
      </x:c>
      <x:c r="M33" s="44" t="n">
        <x:v>19000</x:v>
      </x:c>
      <x:c r="N33" s="76" t="n">
        <x:f>IF(L33="","",MAX(0,L33-M33))</x:f>
        <x:v>3000</x:v>
      </x:c>
      <x:c r="O33" s="37" t="str">
        <x:v>Cash</x:v>
      </x:c>
      <x:c r="P33" s="42" t="n">
        <x:v>46172</x:v>
      </x:c>
      <x:c r="Q33" s="59" t="str">
        <x:f>IF(L33="","",IF(N33&lt;=0,"Paid",IF(M33&gt;0,"Partial",IF(AND(P33&lt;&gt;"",P33&lt;TODAY()),"Overdue","Unpaid"))))</x:f>
        <x:v>Partial</x:v>
      </x:c>
      <x:c r="R33" s="42" t="n">
        <x:v>46165</x:v>
      </x:c>
      <x:c r="S33" s="42" t="n">
        <x:v>46195</x:v>
      </x:c>
      <x:c r="T33" s="37" t="str">
        <x:v>RCPT-0028</x:v>
      </x:c>
      <x:c r="U33" s="37" t="str">
        <x:v>Demo sale</x:v>
      </x:c>
    </x:row>
    <x:row r="34">
      <x:c r="A34" s="37" t="str">
        <x:v>DEMO</x:v>
      </x:c>
      <x:c r="B34" s="59" t="str">
        <x:f>IF(C34="","","INV-"&amp;TEXT(C34,"yymmdd")&amp;"-"&amp;TEXT(ROW()-5,"0000"))</x:f>
        <x:v>INV-260528-0029</x:v>
      </x:c>
      <x:c r="C34" s="42" t="n">
        <x:v>46170</x:v>
      </x:c>
      <x:c r="D34" s="37" t="str">
        <x:v>MBR-0005</x:v>
      </x:c>
      <x:c r="E34" s="63" t="str">
        <x:f>IFERROR(INDEX('02_MEMBERS'!$C$6:$C$105,MATCH(D34,'02_MEMBERS'!$B$6:$B$105,0)),"")</x:f>
        <x:v>Samira Rana</x:v>
      </x:c>
      <x:c r="F34" s="63" t="str">
        <x:f>IFERROR(INDEX('02_MEMBERS'!$G$6:$G$105,MATCH(D34,'02_MEMBERS'!$B$6:$B$105,0)),"")</x:f>
        <x:v>Main Studio</x:v>
      </x:c>
      <x:c r="G34" s="37" t="str">
        <x:v>Membership</x:v>
      </x:c>
      <x:c r="H34" s="37" t="str">
        <x:v>Private 5</x:v>
      </x:c>
      <x:c r="I34" s="44" t="n">
        <x:v>8000</x:v>
      </x:c>
      <x:c r="J34" s="44" t="n">
        <x:v>0</x:v>
      </x:c>
      <x:c r="K34" s="44" t="n">
        <x:v>0</x:v>
      </x:c>
      <x:c r="L34" s="76" t="n">
        <x:f>IF(I34="","",MAX(0,I34-J34+K34))</x:f>
        <x:v>8000</x:v>
      </x:c>
      <x:c r="M34" s="44" t="n">
        <x:v>8000</x:v>
      </x:c>
      <x:c r="N34" s="76" t="n">
        <x:f>IF(L34="","",MAX(0,L34-M34))</x:f>
        <x:v>0</x:v>
      </x:c>
      <x:c r="O34" s="37" t="str">
        <x:v>Bank Transfer</x:v>
      </x:c>
      <x:c r="P34" s="42" t="n">
        <x:v>46177</x:v>
      </x:c>
      <x:c r="Q34" s="59" t="str">
        <x:f>IF(L34="","",IF(N34&lt;=0,"Paid",IF(M34&gt;0,"Partial",IF(AND(P34&lt;&gt;"",P34&lt;TODAY()),"Overdue","Unpaid"))))</x:f>
        <x:v>Paid</x:v>
      </x:c>
      <x:c r="R34" s="42" t="n">
        <x:v>46170</x:v>
      </x:c>
      <x:c r="S34" s="42" t="n">
        <x:v>46200</x:v>
      </x:c>
      <x:c r="T34" s="37" t="str">
        <x:v>RCPT-0029</x:v>
      </x:c>
      <x:c r="U34" s="37" t="str">
        <x:v>Demo sale</x:v>
      </x:c>
    </x:row>
    <x:row r="35">
      <x:c r="A35" s="37" t="str">
        <x:v>DEMO</x:v>
      </x:c>
      <x:c r="B35" s="59" t="str">
        <x:f>IF(C35="","","INV-"&amp;TEXT(C35,"yymmdd")&amp;"-"&amp;TEXT(ROW()-5,"0000"))</x:f>
        <x:v>INV-260602-0030</x:v>
      </x:c>
      <x:c r="C35" s="42" t="n">
        <x:v>46175</x:v>
      </x:c>
      <x:c r="D35" s="37" t="str">
        <x:v>MBR-0006</x:v>
      </x:c>
      <x:c r="E35" s="63" t="str">
        <x:f>IFERROR(INDEX('02_MEMBERS'!$C$6:$C$105,MATCH(D35,'02_MEMBERS'!$B$6:$B$105,0)),"")</x:f>
        <x:v>Isha Bista</x:v>
      </x:c>
      <x:c r="F35" s="63" t="str">
        <x:f>IFERROR(INDEX('02_MEMBERS'!$G$6:$G$105,MATCH(D35,'02_MEMBERS'!$B$6:$B$105,0)),"")</x:f>
        <x:v>Main Studio</x:v>
      </x:c>
      <x:c r="G35" s="37" t="str">
        <x:v>Membership</x:v>
      </x:c>
      <x:c r="H35" s="37" t="str">
        <x:v>Monthly 12</x:v>
      </x:c>
      <x:c r="I35" s="44" t="n">
        <x:v>30000</x:v>
      </x:c>
      <x:c r="J35" s="44" t="n">
        <x:v>0</x:v>
      </x:c>
      <x:c r="K35" s="44" t="n">
        <x:v>0</x:v>
      </x:c>
      <x:c r="L35" s="76" t="n">
        <x:f>IF(I35="","",MAX(0,I35-J35+K35))</x:f>
        <x:v>30000</x:v>
      </x:c>
      <x:c r="M35" s="44" t="n">
        <x:v>30000</x:v>
      </x:c>
      <x:c r="N35" s="76" t="n">
        <x:f>IF(L35="","",MAX(0,L35-M35))</x:f>
        <x:v>0</x:v>
      </x:c>
      <x:c r="O35" s="37" t="str">
        <x:v>Card</x:v>
      </x:c>
      <x:c r="P35" s="42" t="n">
        <x:v>46182</x:v>
      </x:c>
      <x:c r="Q35" s="59" t="str">
        <x:f>IF(L35="","",IF(N35&lt;=0,"Paid",IF(M35&gt;0,"Partial",IF(AND(P35&lt;&gt;"",P35&lt;TODAY()),"Overdue","Unpaid"))))</x:f>
        <x:v>Paid</x:v>
      </x:c>
      <x:c r="R35" s="42" t="n">
        <x:v>46175</x:v>
      </x:c>
      <x:c r="S35" s="42" t="n">
        <x:v>46205</x:v>
      </x:c>
      <x:c r="T35" s="37" t="str">
        <x:v>RCPT-0030</x:v>
      </x:c>
      <x:c r="U35" s="37" t="str">
        <x:v>Demo sale</x:v>
      </x:c>
    </x:row>
    <x:row r="36">
      <x:c r="A36" s="37" t="str">
        <x:v>DEMO</x:v>
      </x:c>
      <x:c r="B36" s="59" t="str">
        <x:f>IF(C36="","","INV-"&amp;TEXT(C36,"yymmdd")&amp;"-"&amp;TEXT(ROW()-5,"0000"))</x:f>
        <x:v>INV-260607-0031</x:v>
      </x:c>
      <x:c r="C36" s="42" t="n">
        <x:v>46180</x:v>
      </x:c>
      <x:c r="D36" s="37" t="str">
        <x:v>MBR-0007</x:v>
      </x:c>
      <x:c r="E36" s="63" t="str">
        <x:f>IFERROR(INDEX('02_MEMBERS'!$C$6:$C$105,MATCH(D36,'02_MEMBERS'!$B$6:$B$105,0)),"")</x:f>
        <x:v>Anu KC</x:v>
      </x:c>
      <x:c r="F36" s="63" t="str">
        <x:f>IFERROR(INDEX('02_MEMBERS'!$G$6:$G$105,MATCH(D36,'02_MEMBERS'!$B$6:$B$105,0)),"")</x:f>
        <x:v>Main Studio</x:v>
      </x:c>
      <x:c r="G36" s="37" t="str">
        <x:v>Membership</x:v>
      </x:c>
      <x:c r="H36" s="37" t="str">
        <x:v>Quarterly 24</x:v>
      </x:c>
      <x:c r="I36" s="44" t="n">
        <x:v>12000</x:v>
      </x:c>
      <x:c r="J36" s="44" t="n">
        <x:v>0</x:v>
      </x:c>
      <x:c r="K36" s="44" t="n">
        <x:v>0</x:v>
      </x:c>
      <x:c r="L36" s="76" t="n">
        <x:f>IF(I36="","",MAX(0,I36-J36+K36))</x:f>
        <x:v>12000</x:v>
      </x:c>
      <x:c r="M36" s="44" t="n">
        <x:v>12000</x:v>
      </x:c>
      <x:c r="N36" s="76" t="n">
        <x:f>IF(L36="","",MAX(0,L36-M36))</x:f>
        <x:v>0</x:v>
      </x:c>
      <x:c r="O36" s="37" t="str">
        <x:v>Mobile Wallet</x:v>
      </x:c>
      <x:c r="P36" s="42" t="n">
        <x:v>46187</x:v>
      </x:c>
      <x:c r="Q36" s="59" t="str">
        <x:f>IF(L36="","",IF(N36&lt;=0,"Paid",IF(M36&gt;0,"Partial",IF(AND(P36&lt;&gt;"",P36&lt;TODAY()),"Overdue","Unpaid"))))</x:f>
        <x:v>Paid</x:v>
      </x:c>
      <x:c r="R36" s="42" t="n">
        <x:v>46180</x:v>
      </x:c>
      <x:c r="S36" s="42" t="n">
        <x:v>46210</x:v>
      </x:c>
      <x:c r="T36" s="37" t="str">
        <x:v>RCPT-0031</x:v>
      </x:c>
      <x:c r="U36" s="37" t="str">
        <x:v>Demo sale</x:v>
      </x:c>
    </x:row>
    <x:row r="37">
      <x:c r="A37" s="37" t="str">
        <x:v>DEMO</x:v>
      </x:c>
      <x:c r="B37" s="59" t="str">
        <x:f>IF(C37="","","INV-"&amp;TEXT(C37,"yymmdd")&amp;"-"&amp;TEXT(ROW()-5,"0000"))</x:f>
        <x:v>INV-260612-0032</x:v>
      </x:c>
      <x:c r="C37" s="42" t="n">
        <x:v>46185</x:v>
      </x:c>
      <x:c r="D37" s="37" t="str">
        <x:v>MBR-0008</x:v>
      </x:c>
      <x:c r="E37" s="63" t="str">
        <x:f>IFERROR(INDEX('02_MEMBERS'!$C$6:$C$105,MATCH(D37,'02_MEMBERS'!$B$6:$B$105,0)),"")</x:f>
        <x:v>Roshni Lama</x:v>
      </x:c>
      <x:c r="F37" s="63" t="str">
        <x:f>IFERROR(INDEX('02_MEMBERS'!$G$6:$G$105,MATCH(D37,'02_MEMBERS'!$B$6:$B$105,0)),"")</x:f>
        <x:v>Main Studio</x:v>
      </x:c>
      <x:c r="G37" s="37" t="str">
        <x:v>Membership</x:v>
      </x:c>
      <x:c r="H37" s="37" t="str">
        <x:v>Monthly 8</x:v>
      </x:c>
      <x:c r="I37" s="44" t="n">
        <x:v>16000</x:v>
      </x:c>
      <x:c r="J37" s="44" t="n">
        <x:v>0</x:v>
      </x:c>
      <x:c r="K37" s="44" t="n">
        <x:v>0</x:v>
      </x:c>
      <x:c r="L37" s="76" t="n">
        <x:f>IF(I37="","",MAX(0,I37-J37+K37))</x:f>
        <x:v>16000</x:v>
      </x:c>
      <x:c r="M37" s="44" t="n">
        <x:v>16000</x:v>
      </x:c>
      <x:c r="N37" s="76" t="n">
        <x:f>IF(L37="","",MAX(0,L37-M37))</x:f>
        <x:v>0</x:v>
      </x:c>
      <x:c r="O37" s="37" t="str">
        <x:v>Cash</x:v>
      </x:c>
      <x:c r="P37" s="42" t="n">
        <x:v>46192</x:v>
      </x:c>
      <x:c r="Q37" s="59" t="str">
        <x:f>IF(L37="","",IF(N37&lt;=0,"Paid",IF(M37&gt;0,"Partial",IF(AND(P37&lt;&gt;"",P37&lt;TODAY()),"Overdue","Unpaid"))))</x:f>
        <x:v>Paid</x:v>
      </x:c>
      <x:c r="R37" s="42" t="n">
        <x:v>46185</x:v>
      </x:c>
      <x:c r="S37" s="42" t="n">
        <x:v>46215</x:v>
      </x:c>
      <x:c r="T37" s="37" t="str">
        <x:v>RCPT-0032</x:v>
      </x:c>
      <x:c r="U37" s="37" t="str">
        <x:v>Demo sale</x:v>
      </x:c>
    </x:row>
    <x:row r="38">
      <x:c r="A38" s="37" t="str">
        <x:v>DEMO</x:v>
      </x:c>
      <x:c r="B38" s="59" t="str">
        <x:f>IF(C38="","","INV-"&amp;TEXT(C38,"yymmdd")&amp;"-"&amp;TEXT(ROW()-5,"0000"))</x:f>
        <x:v>INV-260617-0033</x:v>
      </x:c>
      <x:c r="C38" s="42" t="n">
        <x:v>46190</x:v>
      </x:c>
      <x:c r="D38" s="37" t="str">
        <x:v>MBR-0009</x:v>
      </x:c>
      <x:c r="E38" s="63" t="str">
        <x:f>IFERROR(INDEX('02_MEMBERS'!$C$6:$C$105,MATCH(D38,'02_MEMBERS'!$B$6:$B$105,0)),"")</x:f>
        <x:v>Kritika Poudel</x:v>
      </x:c>
      <x:c r="F38" s="63" t="str">
        <x:f>IFERROR(INDEX('02_MEMBERS'!$G$6:$G$105,MATCH(D38,'02_MEMBERS'!$B$6:$B$105,0)),"")</x:f>
        <x:v>Main Studio</x:v>
      </x:c>
      <x:c r="G38" s="37" t="str">
        <x:v>Membership</x:v>
      </x:c>
      <x:c r="H38" s="37" t="str">
        <x:v>Unlimited Monthly</x:v>
      </x:c>
      <x:c r="I38" s="44" t="n">
        <x:v>22000</x:v>
      </x:c>
      <x:c r="J38" s="44" t="n">
        <x:v>0</x:v>
      </x:c>
      <x:c r="K38" s="44" t="n">
        <x:v>0</x:v>
      </x:c>
      <x:c r="L38" s="76" t="n">
        <x:f>IF(I38="","",MAX(0,I38-J38+K38))</x:f>
        <x:v>22000</x:v>
      </x:c>
      <x:c r="M38" s="44" t="n">
        <x:v>22000</x:v>
      </x:c>
      <x:c r="N38" s="76" t="n">
        <x:f>IF(L38="","",MAX(0,L38-M38))</x:f>
        <x:v>0</x:v>
      </x:c>
      <x:c r="O38" s="37" t="str">
        <x:v>Bank Transfer</x:v>
      </x:c>
      <x:c r="P38" s="42" t="n">
        <x:v>46197</x:v>
      </x:c>
      <x:c r="Q38" s="59" t="str">
        <x:f>IF(L38="","",IF(N38&lt;=0,"Paid",IF(M38&gt;0,"Partial",IF(AND(P38&lt;&gt;"",P38&lt;TODAY()),"Overdue","Unpaid"))))</x:f>
        <x:v>Paid</x:v>
      </x:c>
      <x:c r="R38" s="42" t="n">
        <x:v>46190</x:v>
      </x:c>
      <x:c r="S38" s="42" t="n">
        <x:v>46220</x:v>
      </x:c>
      <x:c r="T38" s="37" t="str">
        <x:v>RCPT-0033</x:v>
      </x:c>
      <x:c r="U38" s="37" t="str">
        <x:v>Demo sale</x:v>
      </x:c>
    </x:row>
    <x:row r="39">
      <x:c r="A39" s="37" t="str">
        <x:v>DEMO</x:v>
      </x:c>
      <x:c r="B39" s="59" t="str">
        <x:f>IF(C39="","","INV-"&amp;TEXT(C39,"yymmdd")&amp;"-"&amp;TEXT(ROW()-5,"0000"))</x:f>
        <x:v>INV-260622-0034</x:v>
      </x:c>
      <x:c r="C39" s="42" t="n">
        <x:v>46195</x:v>
      </x:c>
      <x:c r="D39" s="37" t="str">
        <x:v>MBR-0010</x:v>
      </x:c>
      <x:c r="E39" s="63" t="str">
        <x:f>IFERROR(INDEX('02_MEMBERS'!$C$6:$C$105,MATCH(D39,'02_MEMBERS'!$B$6:$B$105,0)),"")</x:f>
        <x:v>Neha Shahi</x:v>
      </x:c>
      <x:c r="F39" s="63" t="str">
        <x:f>IFERROR(INDEX('02_MEMBERS'!$G$6:$G$105,MATCH(D39,'02_MEMBERS'!$B$6:$B$105,0)),"")</x:f>
        <x:v>Main Studio</x:v>
      </x:c>
      <x:c r="G39" s="37" t="str">
        <x:v>Membership</x:v>
      </x:c>
      <x:c r="H39" s="37" t="str">
        <x:v>Monthly 12</x:v>
      </x:c>
      <x:c r="I39" s="44" t="n">
        <x:v>8000</x:v>
      </x:c>
      <x:c r="J39" s="44" t="n">
        <x:v>0</x:v>
      </x:c>
      <x:c r="K39" s="44" t="n">
        <x:v>0</x:v>
      </x:c>
      <x:c r="L39" s="76" t="n">
        <x:f>IF(I39="","",MAX(0,I39-J39+K39))</x:f>
        <x:v>8000</x:v>
      </x:c>
      <x:c r="M39" s="44" t="n">
        <x:v>8000</x:v>
      </x:c>
      <x:c r="N39" s="76" t="n">
        <x:f>IF(L39="","",MAX(0,L39-M39))</x:f>
        <x:v>0</x:v>
      </x:c>
      <x:c r="O39" s="37" t="str">
        <x:v>Card</x:v>
      </x:c>
      <x:c r="P39" s="42" t="n">
        <x:v>46202</x:v>
      </x:c>
      <x:c r="Q39" s="59" t="str">
        <x:f>IF(L39="","",IF(N39&lt;=0,"Paid",IF(M39&gt;0,"Partial",IF(AND(P39&lt;&gt;"",P39&lt;TODAY()),"Overdue","Unpaid"))))</x:f>
        <x:v>Paid</x:v>
      </x:c>
      <x:c r="R39" s="42" t="n">
        <x:v>46195</x:v>
      </x:c>
      <x:c r="S39" s="42" t="n">
        <x:v>46225</x:v>
      </x:c>
      <x:c r="T39" s="37" t="str">
        <x:v>RCPT-0034</x:v>
      </x:c>
      <x:c r="U39" s="37" t="str">
        <x:v>Demo sale</x:v>
      </x:c>
    </x:row>
    <x:row r="40">
      <x:c r="A40" s="37" t="str">
        <x:v>DEMO</x:v>
      </x:c>
      <x:c r="B40" s="59" t="str">
        <x:f>IF(C40="","","INV-"&amp;TEXT(C40,"yymmdd")&amp;"-"&amp;TEXT(ROW()-5,"0000"))</x:f>
        <x:v>INV-260627-0035</x:v>
      </x:c>
      <x:c r="C40" s="42" t="n">
        <x:v>46200</x:v>
      </x:c>
      <x:c r="D40" s="37" t="str">
        <x:v>MBR-0011</x:v>
      </x:c>
      <x:c r="E40" s="63" t="str">
        <x:f>IFERROR(INDEX('02_MEMBERS'!$C$6:$C$105,MATCH(D40,'02_MEMBERS'!$B$6:$B$105,0)),"")</x:f>
        <x:v>Puja Tamang</x:v>
      </x:c>
      <x:c r="F40" s="63" t="str">
        <x:f>IFERROR(INDEX('02_MEMBERS'!$G$6:$G$105,MATCH(D40,'02_MEMBERS'!$B$6:$B$105,0)),"")</x:f>
        <x:v>Main Studio</x:v>
      </x:c>
      <x:c r="G40" s="37" t="str">
        <x:v>Membership</x:v>
      </x:c>
      <x:c r="H40" s="37" t="str">
        <x:v>Monthly 8</x:v>
      </x:c>
      <x:c r="I40" s="44" t="n">
        <x:v>30000</x:v>
      </x:c>
      <x:c r="J40" s="44" t="n">
        <x:v>0</x:v>
      </x:c>
      <x:c r="K40" s="44" t="n">
        <x:v>0</x:v>
      </x:c>
      <x:c r="L40" s="76" t="n">
        <x:f>IF(I40="","",MAX(0,I40-J40+K40))</x:f>
        <x:v>30000</x:v>
      </x:c>
      <x:c r="M40" s="44" t="n">
        <x:v>30000</x:v>
      </x:c>
      <x:c r="N40" s="76" t="n">
        <x:f>IF(L40="","",MAX(0,L40-M40))</x:f>
        <x:v>0</x:v>
      </x:c>
      <x:c r="O40" s="37" t="str">
        <x:v>Mobile Wallet</x:v>
      </x:c>
      <x:c r="P40" s="42" t="n">
        <x:v>46207</x:v>
      </x:c>
      <x:c r="Q40" s="59" t="str">
        <x:f>IF(L40="","",IF(N40&lt;=0,"Paid",IF(M40&gt;0,"Partial",IF(AND(P40&lt;&gt;"",P40&lt;TODAY()),"Overdue","Unpaid"))))</x:f>
        <x:v>Paid</x:v>
      </x:c>
      <x:c r="R40" s="42" t="n">
        <x:v>46200</x:v>
      </x:c>
      <x:c r="S40" s="42" t="n">
        <x:v>46230</x:v>
      </x:c>
      <x:c r="T40" s="37" t="str">
        <x:v>RCPT-0035</x:v>
      </x:c>
      <x:c r="U40" s="37" t="str">
        <x:v>Demo sale</x:v>
      </x:c>
    </x:row>
    <x:row r="41">
      <x:c r="A41" s="37" t="str">
        <x:v>DEMO</x:v>
      </x:c>
      <x:c r="B41" s="59" t="str">
        <x:f>IF(C41="","","INV-"&amp;TEXT(C41,"yymmdd")&amp;"-"&amp;TEXT(ROW()-5,"0000"))</x:f>
        <x:v>INV-260702-0036</x:v>
      </x:c>
      <x:c r="C41" s="42" t="n">
        <x:v>46205</x:v>
      </x:c>
      <x:c r="D41" s="37" t="str">
        <x:v>MBR-0012</x:v>
      </x:c>
      <x:c r="E41" s="63" t="str">
        <x:f>IFERROR(INDEX('02_MEMBERS'!$C$6:$C$105,MATCH(D41,'02_MEMBERS'!$B$6:$B$105,0)),"")</x:f>
        <x:v>Sushma Adhikari</x:v>
      </x:c>
      <x:c r="F41" s="63" t="str">
        <x:f>IFERROR(INDEX('02_MEMBERS'!$G$6:$G$105,MATCH(D41,'02_MEMBERS'!$B$6:$B$105,0)),"")</x:f>
        <x:v>Main Studio</x:v>
      </x:c>
      <x:c r="G41" s="37" t="str">
        <x:v>Membership</x:v>
      </x:c>
      <x:c r="H41" s="37" t="str">
        <x:v>Private 5</x:v>
      </x:c>
      <x:c r="I41" s="44" t="n">
        <x:v>12000</x:v>
      </x:c>
      <x:c r="J41" s="44" t="n">
        <x:v>0</x:v>
      </x:c>
      <x:c r="K41" s="44" t="n">
        <x:v>0</x:v>
      </x:c>
      <x:c r="L41" s="76" t="n">
        <x:f>IF(I41="","",MAX(0,I41-J41+K41))</x:f>
        <x:v>12000</x:v>
      </x:c>
      <x:c r="M41" s="44" t="n">
        <x:v>12000</x:v>
      </x:c>
      <x:c r="N41" s="76" t="n">
        <x:f>IF(L41="","",MAX(0,L41-M41))</x:f>
        <x:v>0</x:v>
      </x:c>
      <x:c r="O41" s="37" t="str">
        <x:v>Cash</x:v>
      </x:c>
      <x:c r="P41" s="42" t="n">
        <x:v>46212</x:v>
      </x:c>
      <x:c r="Q41" s="59" t="str">
        <x:f>IF(L41="","",IF(N41&lt;=0,"Paid",IF(M41&gt;0,"Partial",IF(AND(P41&lt;&gt;"",P41&lt;TODAY()),"Overdue","Unpaid"))))</x:f>
        <x:v>Paid</x:v>
      </x:c>
      <x:c r="R41" s="42" t="n">
        <x:v>46205</x:v>
      </x:c>
      <x:c r="S41" s="42" t="n">
        <x:v>46235</x:v>
      </x:c>
      <x:c r="T41" s="37" t="str">
        <x:v>RCPT-0036</x:v>
      </x:c>
      <x:c r="U41" s="37" t="str">
        <x:v>Demo sale</x:v>
      </x:c>
    </x:row>
    <x:row r="42">
      <x:c r="A42" s="37" t="str">
        <x:v>DEMO</x:v>
      </x:c>
      <x:c r="B42" s="59" t="str">
        <x:f>IF(C42="","","INV-"&amp;TEXT(C42,"yymmdd")&amp;"-"&amp;TEXT(ROW()-5,"0000"))</x:f>
        <x:v>INV-260707-0037</x:v>
      </x:c>
      <x:c r="C42" s="42" t="n">
        <x:v>46210</x:v>
      </x:c>
      <x:c r="D42" s="37" t="str">
        <x:v>MBR-0001</x:v>
      </x:c>
      <x:c r="E42" s="63" t="str">
        <x:f>IFERROR(INDEX('02_MEMBERS'!$C$6:$C$105,MATCH(D42,'02_MEMBERS'!$B$6:$B$105,0)),"")</x:f>
        <x:v>Aarati Karki</x:v>
      </x:c>
      <x:c r="F42" s="63" t="str">
        <x:f>IFERROR(INDEX('02_MEMBERS'!$G$6:$G$105,MATCH(D42,'02_MEMBERS'!$B$6:$B$105,0)),"")</x:f>
        <x:v>Main Studio</x:v>
      </x:c>
      <x:c r="G42" s="37" t="str">
        <x:v>Membership</x:v>
      </x:c>
      <x:c r="H42" s="37" t="str">
        <x:v>Monthly 8</x:v>
      </x:c>
      <x:c r="I42" s="44" t="n">
        <x:v>16000</x:v>
      </x:c>
      <x:c r="J42" s="44" t="n">
        <x:v>0</x:v>
      </x:c>
      <x:c r="K42" s="44" t="n">
        <x:v>0</x:v>
      </x:c>
      <x:c r="L42" s="76" t="n">
        <x:f>IF(I42="","",MAX(0,I42-J42+K42))</x:f>
        <x:v>16000</x:v>
      </x:c>
      <x:c r="M42" s="44" t="n">
        <x:v>13000</x:v>
      </x:c>
      <x:c r="N42" s="76" t="n">
        <x:f>IF(L42="","",MAX(0,L42-M42))</x:f>
        <x:v>3000</x:v>
      </x:c>
      <x:c r="O42" s="37" t="str">
        <x:v>Bank Transfer</x:v>
      </x:c>
      <x:c r="P42" s="42" t="n">
        <x:v>46217</x:v>
      </x:c>
      <x:c r="Q42" s="59" t="str">
        <x:f>IF(L42="","",IF(N42&lt;=0,"Paid",IF(M42&gt;0,"Partial",IF(AND(P42&lt;&gt;"",P42&lt;TODAY()),"Overdue","Unpaid"))))</x:f>
        <x:v>Partial</x:v>
      </x:c>
      <x:c r="R42" s="42" t="n">
        <x:v>46210</x:v>
      </x:c>
      <x:c r="S42" s="42" t="n">
        <x:v>46240</x:v>
      </x:c>
      <x:c r="T42" s="37" t="str">
        <x:v>RCPT-0037</x:v>
      </x:c>
      <x:c r="U42" s="37" t="str">
        <x:v>Demo sale</x:v>
      </x:c>
    </x:row>
    <x:row r="43">
      <x:c r="A43" s="37" t="str">
        <x:v>DEMO</x:v>
      </x:c>
      <x:c r="B43" s="59" t="str">
        <x:f>IF(C43="","","INV-"&amp;TEXT(C43,"yymmdd")&amp;"-"&amp;TEXT(ROW()-5,"0000"))</x:f>
        <x:v>INV-260712-0038</x:v>
      </x:c>
      <x:c r="C43" s="42" t="n">
        <x:v>46215</x:v>
      </x:c>
      <x:c r="D43" s="37" t="str">
        <x:v>MBR-0002</x:v>
      </x:c>
      <x:c r="E43" s="63" t="str">
        <x:f>IFERROR(INDEX('02_MEMBERS'!$C$6:$C$105,MATCH(D43,'02_MEMBERS'!$B$6:$B$105,0)),"")</x:f>
        <x:v>Sneha Joshi</x:v>
      </x:c>
      <x:c r="F43" s="63" t="str">
        <x:f>IFERROR(INDEX('02_MEMBERS'!$G$6:$G$105,MATCH(D43,'02_MEMBERS'!$B$6:$B$105,0)),"")</x:f>
        <x:v>Main Studio</x:v>
      </x:c>
      <x:c r="G43" s="37" t="str">
        <x:v>Membership</x:v>
      </x:c>
      <x:c r="H43" s="37" t="str">
        <x:v>Monthly 12</x:v>
      </x:c>
      <x:c r="I43" s="44" t="n">
        <x:v>22000</x:v>
      </x:c>
      <x:c r="J43" s="44" t="n">
        <x:v>0</x:v>
      </x:c>
      <x:c r="K43" s="44" t="n">
        <x:v>0</x:v>
      </x:c>
      <x:c r="L43" s="76" t="n">
        <x:f>IF(I43="","",MAX(0,I43-J43+K43))</x:f>
        <x:v>22000</x:v>
      </x:c>
      <x:c r="M43" s="44" t="n">
        <x:v>22000</x:v>
      </x:c>
      <x:c r="N43" s="76" t="n">
        <x:f>IF(L43="","",MAX(0,L43-M43))</x:f>
        <x:v>0</x:v>
      </x:c>
      <x:c r="O43" s="37" t="str">
        <x:v>Card</x:v>
      </x:c>
      <x:c r="P43" s="42" t="n">
        <x:v>46222</x:v>
      </x:c>
      <x:c r="Q43" s="59" t="str">
        <x:f>IF(L43="","",IF(N43&lt;=0,"Paid",IF(M43&gt;0,"Partial",IF(AND(P43&lt;&gt;"",P43&lt;TODAY()),"Overdue","Unpaid"))))</x:f>
        <x:v>Paid</x:v>
      </x:c>
      <x:c r="R43" s="42" t="n">
        <x:v>46215</x:v>
      </x:c>
      <x:c r="S43" s="42" t="n">
        <x:v>46245</x:v>
      </x:c>
      <x:c r="T43" s="37" t="str">
        <x:v>RCPT-0038</x:v>
      </x:c>
      <x:c r="U43" s="37" t="str">
        <x:v>Demo sale</x:v>
      </x:c>
    </x:row>
    <x:row r="44">
      <x:c r="A44" s="37" t="str">
        <x:v>DEMO</x:v>
      </x:c>
      <x:c r="B44" s="59" t="str">
        <x:f>IF(C44="","","INV-"&amp;TEXT(C44,"yymmdd")&amp;"-"&amp;TEXT(ROW()-5,"0000"))</x:f>
        <x:v>INV-260717-0039</x:v>
      </x:c>
      <x:c r="C44" s="42" t="n">
        <x:v>46220</x:v>
      </x:c>
      <x:c r="D44" s="37" t="str">
        <x:v>MBR-0003</x:v>
      </x:c>
      <x:c r="E44" s="63" t="str">
        <x:f>IFERROR(INDEX('02_MEMBERS'!$C$6:$C$105,MATCH(D44,'02_MEMBERS'!$B$6:$B$105,0)),"")</x:f>
        <x:v>Prerana Shrestha</x:v>
      </x:c>
      <x:c r="F44" s="63" t="str">
        <x:f>IFERROR(INDEX('02_MEMBERS'!$G$6:$G$105,MATCH(D44,'02_MEMBERS'!$B$6:$B$105,0)),"")</x:f>
        <x:v>Main Studio</x:v>
      </x:c>
      <x:c r="G44" s="37" t="str">
        <x:v>Membership</x:v>
      </x:c>
      <x:c r="H44" s="37" t="str">
        <x:v>Unlimited Monthly</x:v>
      </x:c>
      <x:c r="I44" s="44" t="n">
        <x:v>8000</x:v>
      </x:c>
      <x:c r="J44" s="44" t="n">
        <x:v>0</x:v>
      </x:c>
      <x:c r="K44" s="44" t="n">
        <x:v>0</x:v>
      </x:c>
      <x:c r="L44" s="76" t="n">
        <x:f>IF(I44="","",MAX(0,I44-J44+K44))</x:f>
        <x:v>8000</x:v>
      </x:c>
      <x:c r="M44" s="44" t="n">
        <x:v>8000</x:v>
      </x:c>
      <x:c r="N44" s="76" t="n">
        <x:f>IF(L44="","",MAX(0,L44-M44))</x:f>
        <x:v>0</x:v>
      </x:c>
      <x:c r="O44" s="37" t="str">
        <x:v>Mobile Wallet</x:v>
      </x:c>
      <x:c r="P44" s="42" t="n">
        <x:v>46227</x:v>
      </x:c>
      <x:c r="Q44" s="59" t="str">
        <x:f>IF(L44="","",IF(N44&lt;=0,"Paid",IF(M44&gt;0,"Partial",IF(AND(P44&lt;&gt;"",P44&lt;TODAY()),"Overdue","Unpaid"))))</x:f>
        <x:v>Paid</x:v>
      </x:c>
      <x:c r="R44" s="42" t="n">
        <x:v>46220</x:v>
      </x:c>
      <x:c r="S44" s="42" t="n">
        <x:v>46250</x:v>
      </x:c>
      <x:c r="T44" s="37" t="str">
        <x:v>RCPT-0039</x:v>
      </x:c>
      <x:c r="U44" s="37" t="str">
        <x:v>Demo sale</x:v>
      </x:c>
    </x:row>
    <x:row r="45">
      <x:c r="A45" s="37" t="str">
        <x:v>DEMO</x:v>
      </x:c>
      <x:c r="B45" s="59" t="str">
        <x:f>IF(C45="","","INV-"&amp;TEXT(C45,"yymmdd")&amp;"-"&amp;TEXT(ROW()-5,"0000"))</x:f>
        <x:v>INV-260722-0040</x:v>
      </x:c>
      <x:c r="C45" s="42" t="n">
        <x:v>46225</x:v>
      </x:c>
      <x:c r="D45" s="37" t="str">
        <x:v>MBR-0004</x:v>
      </x:c>
      <x:c r="E45" s="63" t="str">
        <x:f>IFERROR(INDEX('02_MEMBERS'!$C$6:$C$105,MATCH(D45,'02_MEMBERS'!$B$6:$B$105,0)),"")</x:f>
        <x:v>Nina Maharjan</x:v>
      </x:c>
      <x:c r="F45" s="63" t="str">
        <x:f>IFERROR(INDEX('02_MEMBERS'!$G$6:$G$105,MATCH(D45,'02_MEMBERS'!$B$6:$B$105,0)),"")</x:f>
        <x:v>Main Studio</x:v>
      </x:c>
      <x:c r="G45" s="37" t="str">
        <x:v>Membership</x:v>
      </x:c>
      <x:c r="H45" s="37" t="str">
        <x:v>Monthly 8</x:v>
      </x:c>
      <x:c r="I45" s="44" t="n">
        <x:v>30000</x:v>
      </x:c>
      <x:c r="J45" s="44" t="n">
        <x:v>0</x:v>
      </x:c>
      <x:c r="K45" s="44" t="n">
        <x:v>0</x:v>
      </x:c>
      <x:c r="L45" s="76" t="n">
        <x:f>IF(I45="","",MAX(0,I45-J45+K45))</x:f>
        <x:v>30000</x:v>
      </x:c>
      <x:c r="M45" s="44" t="n">
        <x:v>30000</x:v>
      </x:c>
      <x:c r="N45" s="76" t="n">
        <x:f>IF(L45="","",MAX(0,L45-M45))</x:f>
        <x:v>0</x:v>
      </x:c>
      <x:c r="O45" s="37" t="str">
        <x:v>Cash</x:v>
      </x:c>
      <x:c r="P45" s="42" t="n">
        <x:v>46232</x:v>
      </x:c>
      <x:c r="Q45" s="59" t="str">
        <x:f>IF(L45="","",IF(N45&lt;=0,"Paid",IF(M45&gt;0,"Partial",IF(AND(P45&lt;&gt;"",P45&lt;TODAY()),"Overdue","Unpaid"))))</x:f>
        <x:v>Paid</x:v>
      </x:c>
      <x:c r="R45" s="42" t="n">
        <x:v>46225</x:v>
      </x:c>
      <x:c r="S45" s="42" t="n">
        <x:v>46255</x:v>
      </x:c>
      <x:c r="T45" s="37" t="str">
        <x:v>RCPT-0040</x:v>
      </x:c>
      <x:c r="U45" s="37" t="str">
        <x:v>Demo sale</x:v>
      </x:c>
    </x:row>
    <x:row r="46">
      <x:c r="A46" s="37" t="str">
        <x:v>DEMO</x:v>
      </x:c>
      <x:c r="B46" s="59" t="str">
        <x:f>IF(C46="","","INV-"&amp;TEXT(C46,"yymmdd")&amp;"-"&amp;TEXT(ROW()-5,"0000"))</x:f>
        <x:v>INV-260727-0041</x:v>
      </x:c>
      <x:c r="C46" s="42" t="n">
        <x:v>46230</x:v>
      </x:c>
      <x:c r="D46" s="37" t="str">
        <x:v>MBR-0005</x:v>
      </x:c>
      <x:c r="E46" s="63" t="str">
        <x:f>IFERROR(INDEX('02_MEMBERS'!$C$6:$C$105,MATCH(D46,'02_MEMBERS'!$B$6:$B$105,0)),"")</x:f>
        <x:v>Samira Rana</x:v>
      </x:c>
      <x:c r="F46" s="63" t="str">
        <x:f>IFERROR(INDEX('02_MEMBERS'!$G$6:$G$105,MATCH(D46,'02_MEMBERS'!$B$6:$B$105,0)),"")</x:f>
        <x:v>Main Studio</x:v>
      </x:c>
      <x:c r="G46" s="37" t="str">
        <x:v>Membership</x:v>
      </x:c>
      <x:c r="H46" s="37" t="str">
        <x:v>Private 5</x:v>
      </x:c>
      <x:c r="I46" s="44" t="n">
        <x:v>12000</x:v>
      </x:c>
      <x:c r="J46" s="44" t="n">
        <x:v>0</x:v>
      </x:c>
      <x:c r="K46" s="44" t="n">
        <x:v>0</x:v>
      </x:c>
      <x:c r="L46" s="76" t="n">
        <x:f>IF(I46="","",MAX(0,I46-J46+K46))</x:f>
        <x:v>12000</x:v>
      </x:c>
      <x:c r="M46" s="44" t="n">
        <x:v>12000</x:v>
      </x:c>
      <x:c r="N46" s="76" t="n">
        <x:f>IF(L46="","",MAX(0,L46-M46))</x:f>
        <x:v>0</x:v>
      </x:c>
      <x:c r="O46" s="37" t="str">
        <x:v>Bank Transfer</x:v>
      </x:c>
      <x:c r="P46" s="42" t="n">
        <x:v>46237</x:v>
      </x:c>
      <x:c r="Q46" s="59" t="str">
        <x:f>IF(L46="","",IF(N46&lt;=0,"Paid",IF(M46&gt;0,"Partial",IF(AND(P46&lt;&gt;"",P46&lt;TODAY()),"Overdue","Unpaid"))))</x:f>
        <x:v>Paid</x:v>
      </x:c>
      <x:c r="R46" s="42" t="n">
        <x:v>46230</x:v>
      </x:c>
      <x:c r="S46" s="42" t="n">
        <x:v>46260</x:v>
      </x:c>
      <x:c r="T46" s="37" t="str">
        <x:v>RCPT-0041</x:v>
      </x:c>
      <x:c r="U46" s="37" t="str">
        <x:v>Demo sale</x:v>
      </x:c>
    </x:row>
    <x:row r="47">
      <x:c r="A47" s="37" t="str">
        <x:v>DEMO</x:v>
      </x:c>
      <x:c r="B47" s="59" t="str">
        <x:f>IF(C47="","","INV-"&amp;TEXT(C47,"yymmdd")&amp;"-"&amp;TEXT(ROW()-5,"0000"))</x:f>
        <x:v>INV-260801-0042</x:v>
      </x:c>
      <x:c r="C47" s="42" t="n">
        <x:v>46235</x:v>
      </x:c>
      <x:c r="D47" s="37" t="str">
        <x:v>MBR-0006</x:v>
      </x:c>
      <x:c r="E47" s="63" t="str">
        <x:f>IFERROR(INDEX('02_MEMBERS'!$C$6:$C$105,MATCH(D47,'02_MEMBERS'!$B$6:$B$105,0)),"")</x:f>
        <x:v>Isha Bista</x:v>
      </x:c>
      <x:c r="F47" s="63" t="str">
        <x:f>IFERROR(INDEX('02_MEMBERS'!$G$6:$G$105,MATCH(D47,'02_MEMBERS'!$B$6:$B$105,0)),"")</x:f>
        <x:v>Main Studio</x:v>
      </x:c>
      <x:c r="G47" s="37" t="str">
        <x:v>Membership</x:v>
      </x:c>
      <x:c r="H47" s="37" t="str">
        <x:v>Monthly 12</x:v>
      </x:c>
      <x:c r="I47" s="44" t="n">
        <x:v>16000</x:v>
      </x:c>
      <x:c r="J47" s="44" t="n">
        <x:v>0</x:v>
      </x:c>
      <x:c r="K47" s="44" t="n">
        <x:v>0</x:v>
      </x:c>
      <x:c r="L47" s="76" t="n">
        <x:f>IF(I47="","",MAX(0,I47-J47+K47))</x:f>
        <x:v>16000</x:v>
      </x:c>
      <x:c r="M47" s="44" t="n">
        <x:v>16000</x:v>
      </x:c>
      <x:c r="N47" s="76" t="n">
        <x:f>IF(L47="","",MAX(0,L47-M47))</x:f>
        <x:v>0</x:v>
      </x:c>
      <x:c r="O47" s="37" t="str">
        <x:v>Card</x:v>
      </x:c>
      <x:c r="P47" s="42" t="n">
        <x:v>46242</x:v>
      </x:c>
      <x:c r="Q47" s="59" t="str">
        <x:f>IF(L47="","",IF(N47&lt;=0,"Paid",IF(M47&gt;0,"Partial",IF(AND(P47&lt;&gt;"",P47&lt;TODAY()),"Overdue","Unpaid"))))</x:f>
        <x:v>Paid</x:v>
      </x:c>
      <x:c r="R47" s="42" t="n">
        <x:v>46235</x:v>
      </x:c>
      <x:c r="S47" s="42" t="n">
        <x:v>46265</x:v>
      </x:c>
      <x:c r="T47" s="37" t="str">
        <x:v>RCPT-0042</x:v>
      </x:c>
      <x:c r="U47" s="37" t="str">
        <x:v>Demo sale</x:v>
      </x:c>
    </x:row>
    <x:row r="48">
      <x:c r="A48" s="37"/>
      <x:c r="B48" s="59" t="str">
        <x:f>IF(C48="","","INV-"&amp;TEXT(C48,"yymmdd")&amp;"-"&amp;TEXT(ROW()-5,"0000"))</x:f>
      </x:c>
      <x:c r="C48" s="42"/>
      <x:c r="D48" s="37"/>
      <x:c r="E48" s="63" t="str">
        <x:f>IFERROR(INDEX('02_MEMBERS'!$C$6:$C$105,MATCH(D48,'02_MEMBERS'!$B$6:$B$105,0)),"")</x:f>
      </x:c>
      <x:c r="F48" s="63" t="str">
        <x:f>IFERROR(INDEX('02_MEMBERS'!$G$6:$G$105,MATCH(D48,'02_MEMBERS'!$B$6:$B$105,0)),"")</x:f>
      </x:c>
      <x:c r="G48" s="37"/>
      <x:c r="H48" s="37"/>
      <x:c r="I48" s="44"/>
      <x:c r="J48" s="44"/>
      <x:c r="K48" s="44"/>
      <x:c r="L48" s="76" t="str">
        <x:f>IF(I48="","",MAX(0,I48-J48+K48))</x:f>
      </x:c>
      <x:c r="M48" s="44"/>
      <x:c r="N48" s="76" t="str">
        <x:f>IF(L48="","",MAX(0,L48-M48))</x:f>
      </x:c>
      <x:c r="O48" s="37"/>
      <x:c r="P48" s="42"/>
      <x:c r="Q48" s="59" t="str">
        <x:f>IF(L48="","",IF(N48&lt;=0,"Paid",IF(M48&gt;0,"Partial",IF(AND(P48&lt;&gt;"",P48&lt;TODAY()),"Overdue","Unpaid"))))</x:f>
      </x:c>
      <x:c r="R48" s="42"/>
      <x:c r="S48" s="42"/>
      <x:c r="T48" s="37"/>
      <x:c r="U48" s="37"/>
    </x:row>
    <x:row r="49">
      <x:c r="A49" s="37"/>
      <x:c r="B49" s="59" t="str">
        <x:f>IF(C49="","","INV-"&amp;TEXT(C49,"yymmdd")&amp;"-"&amp;TEXT(ROW()-5,"0000"))</x:f>
      </x:c>
      <x:c r="C49" s="42"/>
      <x:c r="D49" s="37"/>
      <x:c r="E49" s="63" t="str">
        <x:f>IFERROR(INDEX('02_MEMBERS'!$C$6:$C$105,MATCH(D49,'02_MEMBERS'!$B$6:$B$105,0)),"")</x:f>
      </x:c>
      <x:c r="F49" s="63" t="str">
        <x:f>IFERROR(INDEX('02_MEMBERS'!$G$6:$G$105,MATCH(D49,'02_MEMBERS'!$B$6:$B$105,0)),"")</x:f>
      </x:c>
      <x:c r="G49" s="37"/>
      <x:c r="H49" s="37"/>
      <x:c r="I49" s="44"/>
      <x:c r="J49" s="44"/>
      <x:c r="K49" s="44"/>
      <x:c r="L49" s="76" t="str">
        <x:f>IF(I49="","",MAX(0,I49-J49+K49))</x:f>
      </x:c>
      <x:c r="M49" s="44"/>
      <x:c r="N49" s="76" t="str">
        <x:f>IF(L49="","",MAX(0,L49-M49))</x:f>
      </x:c>
      <x:c r="O49" s="37"/>
      <x:c r="P49" s="42"/>
      <x:c r="Q49" s="59" t="str">
        <x:f>IF(L49="","",IF(N49&lt;=0,"Paid",IF(M49&gt;0,"Partial",IF(AND(P49&lt;&gt;"",P49&lt;TODAY()),"Overdue","Unpaid"))))</x:f>
      </x:c>
      <x:c r="R49" s="42"/>
      <x:c r="S49" s="42"/>
      <x:c r="T49" s="37"/>
      <x:c r="U49" s="37"/>
    </x:row>
    <x:row r="50">
      <x:c r="A50" s="37"/>
      <x:c r="B50" s="59" t="str">
        <x:f>IF(C50="","","INV-"&amp;TEXT(C50,"yymmdd")&amp;"-"&amp;TEXT(ROW()-5,"0000"))</x:f>
      </x:c>
      <x:c r="C50" s="42"/>
      <x:c r="D50" s="37"/>
      <x:c r="E50" s="63" t="str">
        <x:f>IFERROR(INDEX('02_MEMBERS'!$C$6:$C$105,MATCH(D50,'02_MEMBERS'!$B$6:$B$105,0)),"")</x:f>
      </x:c>
      <x:c r="F50" s="63" t="str">
        <x:f>IFERROR(INDEX('02_MEMBERS'!$G$6:$G$105,MATCH(D50,'02_MEMBERS'!$B$6:$B$105,0)),"")</x:f>
      </x:c>
      <x:c r="G50" s="37"/>
      <x:c r="H50" s="37"/>
      <x:c r="I50" s="44"/>
      <x:c r="J50" s="44"/>
      <x:c r="K50" s="44"/>
      <x:c r="L50" s="76" t="str">
        <x:f>IF(I50="","",MAX(0,I50-J50+K50))</x:f>
      </x:c>
      <x:c r="M50" s="44"/>
      <x:c r="N50" s="76" t="str">
        <x:f>IF(L50="","",MAX(0,L50-M50))</x:f>
      </x:c>
      <x:c r="O50" s="37"/>
      <x:c r="P50" s="42"/>
      <x:c r="Q50" s="59" t="str">
        <x:f>IF(L50="","",IF(N50&lt;=0,"Paid",IF(M50&gt;0,"Partial",IF(AND(P50&lt;&gt;"",P50&lt;TODAY()),"Overdue","Unpaid"))))</x:f>
      </x:c>
      <x:c r="R50" s="42"/>
      <x:c r="S50" s="42"/>
      <x:c r="T50" s="37"/>
      <x:c r="U50" s="37"/>
    </x:row>
    <x:row r="51">
      <x:c r="A51" s="37"/>
      <x:c r="B51" s="59" t="str">
        <x:f>IF(C51="","","INV-"&amp;TEXT(C51,"yymmdd")&amp;"-"&amp;TEXT(ROW()-5,"0000"))</x:f>
      </x:c>
      <x:c r="C51" s="42"/>
      <x:c r="D51" s="37"/>
      <x:c r="E51" s="63" t="str">
        <x:f>IFERROR(INDEX('02_MEMBERS'!$C$6:$C$105,MATCH(D51,'02_MEMBERS'!$B$6:$B$105,0)),"")</x:f>
      </x:c>
      <x:c r="F51" s="63" t="str">
        <x:f>IFERROR(INDEX('02_MEMBERS'!$G$6:$G$105,MATCH(D51,'02_MEMBERS'!$B$6:$B$105,0)),"")</x:f>
      </x:c>
      <x:c r="G51" s="37"/>
      <x:c r="H51" s="37"/>
      <x:c r="I51" s="44"/>
      <x:c r="J51" s="44"/>
      <x:c r="K51" s="44"/>
      <x:c r="L51" s="76" t="str">
        <x:f>IF(I51="","",MAX(0,I51-J51+K51))</x:f>
      </x:c>
      <x:c r="M51" s="44"/>
      <x:c r="N51" s="76" t="str">
        <x:f>IF(L51="","",MAX(0,L51-M51))</x:f>
      </x:c>
      <x:c r="O51" s="37"/>
      <x:c r="P51" s="42"/>
      <x:c r="Q51" s="59" t="str">
        <x:f>IF(L51="","",IF(N51&lt;=0,"Paid",IF(M51&gt;0,"Partial",IF(AND(P51&lt;&gt;"",P51&lt;TODAY()),"Overdue","Unpaid"))))</x:f>
      </x:c>
      <x:c r="R51" s="42"/>
      <x:c r="S51" s="42"/>
      <x:c r="T51" s="37"/>
      <x:c r="U51" s="37"/>
    </x:row>
    <x:row r="52">
      <x:c r="A52" s="37"/>
      <x:c r="B52" s="59" t="str">
        <x:f>IF(C52="","","INV-"&amp;TEXT(C52,"yymmdd")&amp;"-"&amp;TEXT(ROW()-5,"0000"))</x:f>
      </x:c>
      <x:c r="C52" s="42"/>
      <x:c r="D52" s="37"/>
      <x:c r="E52" s="63" t="str">
        <x:f>IFERROR(INDEX('02_MEMBERS'!$C$6:$C$105,MATCH(D52,'02_MEMBERS'!$B$6:$B$105,0)),"")</x:f>
      </x:c>
      <x:c r="F52" s="63" t="str">
        <x:f>IFERROR(INDEX('02_MEMBERS'!$G$6:$G$105,MATCH(D52,'02_MEMBERS'!$B$6:$B$105,0)),"")</x:f>
      </x:c>
      <x:c r="G52" s="37"/>
      <x:c r="H52" s="37"/>
      <x:c r="I52" s="44"/>
      <x:c r="J52" s="44"/>
      <x:c r="K52" s="44"/>
      <x:c r="L52" s="76" t="str">
        <x:f>IF(I52="","",MAX(0,I52-J52+K52))</x:f>
      </x:c>
      <x:c r="M52" s="44"/>
      <x:c r="N52" s="76" t="str">
        <x:f>IF(L52="","",MAX(0,L52-M52))</x:f>
      </x:c>
      <x:c r="O52" s="37"/>
      <x:c r="P52" s="42"/>
      <x:c r="Q52" s="59" t="str">
        <x:f>IF(L52="","",IF(N52&lt;=0,"Paid",IF(M52&gt;0,"Partial",IF(AND(P52&lt;&gt;"",P52&lt;TODAY()),"Overdue","Unpaid"))))</x:f>
      </x:c>
      <x:c r="R52" s="42"/>
      <x:c r="S52" s="42"/>
      <x:c r="T52" s="37"/>
      <x:c r="U52" s="37"/>
    </x:row>
    <x:row r="53">
      <x:c r="A53" s="37"/>
      <x:c r="B53" s="59" t="str">
        <x:f>IF(C53="","","INV-"&amp;TEXT(C53,"yymmdd")&amp;"-"&amp;TEXT(ROW()-5,"0000"))</x:f>
      </x:c>
      <x:c r="C53" s="42"/>
      <x:c r="D53" s="37"/>
      <x:c r="E53" s="63" t="str">
        <x:f>IFERROR(INDEX('02_MEMBERS'!$C$6:$C$105,MATCH(D53,'02_MEMBERS'!$B$6:$B$105,0)),"")</x:f>
      </x:c>
      <x:c r="F53" s="63" t="str">
        <x:f>IFERROR(INDEX('02_MEMBERS'!$G$6:$G$105,MATCH(D53,'02_MEMBERS'!$B$6:$B$105,0)),"")</x:f>
      </x:c>
      <x:c r="G53" s="37"/>
      <x:c r="H53" s="37"/>
      <x:c r="I53" s="44"/>
      <x:c r="J53" s="44"/>
      <x:c r="K53" s="44"/>
      <x:c r="L53" s="76" t="str">
        <x:f>IF(I53="","",MAX(0,I53-J53+K53))</x:f>
      </x:c>
      <x:c r="M53" s="44"/>
      <x:c r="N53" s="76" t="str">
        <x:f>IF(L53="","",MAX(0,L53-M53))</x:f>
      </x:c>
      <x:c r="O53" s="37"/>
      <x:c r="P53" s="42"/>
      <x:c r="Q53" s="59" t="str">
        <x:f>IF(L53="","",IF(N53&lt;=0,"Paid",IF(M53&gt;0,"Partial",IF(AND(P53&lt;&gt;"",P53&lt;TODAY()),"Overdue","Unpaid"))))</x:f>
      </x:c>
      <x:c r="R53" s="42"/>
      <x:c r="S53" s="42"/>
      <x:c r="T53" s="37"/>
      <x:c r="U53" s="37"/>
    </x:row>
    <x:row r="54">
      <x:c r="A54" s="37"/>
      <x:c r="B54" s="59" t="str">
        <x:f>IF(C54="","","INV-"&amp;TEXT(C54,"yymmdd")&amp;"-"&amp;TEXT(ROW()-5,"0000"))</x:f>
      </x:c>
      <x:c r="C54" s="42"/>
      <x:c r="D54" s="37"/>
      <x:c r="E54" s="63" t="str">
        <x:f>IFERROR(INDEX('02_MEMBERS'!$C$6:$C$105,MATCH(D54,'02_MEMBERS'!$B$6:$B$105,0)),"")</x:f>
      </x:c>
      <x:c r="F54" s="63" t="str">
        <x:f>IFERROR(INDEX('02_MEMBERS'!$G$6:$G$105,MATCH(D54,'02_MEMBERS'!$B$6:$B$105,0)),"")</x:f>
      </x:c>
      <x:c r="G54" s="37"/>
      <x:c r="H54" s="37"/>
      <x:c r="I54" s="44"/>
      <x:c r="J54" s="44"/>
      <x:c r="K54" s="44"/>
      <x:c r="L54" s="76" t="str">
        <x:f>IF(I54="","",MAX(0,I54-J54+K54))</x:f>
      </x:c>
      <x:c r="M54" s="44"/>
      <x:c r="N54" s="76" t="str">
        <x:f>IF(L54="","",MAX(0,L54-M54))</x:f>
      </x:c>
      <x:c r="O54" s="37"/>
      <x:c r="P54" s="42"/>
      <x:c r="Q54" s="59" t="str">
        <x:f>IF(L54="","",IF(N54&lt;=0,"Paid",IF(M54&gt;0,"Partial",IF(AND(P54&lt;&gt;"",P54&lt;TODAY()),"Overdue","Unpaid"))))</x:f>
      </x:c>
      <x:c r="R54" s="42"/>
      <x:c r="S54" s="42"/>
      <x:c r="T54" s="37"/>
      <x:c r="U54" s="37"/>
    </x:row>
    <x:row r="55">
      <x:c r="A55" s="37"/>
      <x:c r="B55" s="59" t="str">
        <x:f>IF(C55="","","INV-"&amp;TEXT(C55,"yymmdd")&amp;"-"&amp;TEXT(ROW()-5,"0000"))</x:f>
      </x:c>
      <x:c r="C55" s="42"/>
      <x:c r="D55" s="37"/>
      <x:c r="E55" s="63" t="str">
        <x:f>IFERROR(INDEX('02_MEMBERS'!$C$6:$C$105,MATCH(D55,'02_MEMBERS'!$B$6:$B$105,0)),"")</x:f>
      </x:c>
      <x:c r="F55" s="63" t="str">
        <x:f>IFERROR(INDEX('02_MEMBERS'!$G$6:$G$105,MATCH(D55,'02_MEMBERS'!$B$6:$B$105,0)),"")</x:f>
      </x:c>
      <x:c r="G55" s="37"/>
      <x:c r="H55" s="37"/>
      <x:c r="I55" s="44"/>
      <x:c r="J55" s="44"/>
      <x:c r="K55" s="44"/>
      <x:c r="L55" s="76" t="str">
        <x:f>IF(I55="","",MAX(0,I55-J55+K55))</x:f>
      </x:c>
      <x:c r="M55" s="44"/>
      <x:c r="N55" s="76" t="str">
        <x:f>IF(L55="","",MAX(0,L55-M55))</x:f>
      </x:c>
      <x:c r="O55" s="37"/>
      <x:c r="P55" s="42"/>
      <x:c r="Q55" s="59" t="str">
        <x:f>IF(L55="","",IF(N55&lt;=0,"Paid",IF(M55&gt;0,"Partial",IF(AND(P55&lt;&gt;"",P55&lt;TODAY()),"Overdue","Unpaid"))))</x:f>
      </x:c>
      <x:c r="R55" s="42"/>
      <x:c r="S55" s="42"/>
      <x:c r="T55" s="37"/>
      <x:c r="U55" s="37"/>
    </x:row>
    <x:row r="56">
      <x:c r="A56" s="37"/>
      <x:c r="B56" s="59" t="str">
        <x:f>IF(C56="","","INV-"&amp;TEXT(C56,"yymmdd")&amp;"-"&amp;TEXT(ROW()-5,"0000"))</x:f>
      </x:c>
      <x:c r="C56" s="42"/>
      <x:c r="D56" s="37"/>
      <x:c r="E56" s="63" t="str">
        <x:f>IFERROR(INDEX('02_MEMBERS'!$C$6:$C$105,MATCH(D56,'02_MEMBERS'!$B$6:$B$105,0)),"")</x:f>
      </x:c>
      <x:c r="F56" s="63" t="str">
        <x:f>IFERROR(INDEX('02_MEMBERS'!$G$6:$G$105,MATCH(D56,'02_MEMBERS'!$B$6:$B$105,0)),"")</x:f>
      </x:c>
      <x:c r="G56" s="37"/>
      <x:c r="H56" s="37"/>
      <x:c r="I56" s="44"/>
      <x:c r="J56" s="44"/>
      <x:c r="K56" s="44"/>
      <x:c r="L56" s="76" t="str">
        <x:f>IF(I56="","",MAX(0,I56-J56+K56))</x:f>
      </x:c>
      <x:c r="M56" s="44"/>
      <x:c r="N56" s="76" t="str">
        <x:f>IF(L56="","",MAX(0,L56-M56))</x:f>
      </x:c>
      <x:c r="O56" s="37"/>
      <x:c r="P56" s="42"/>
      <x:c r="Q56" s="59" t="str">
        <x:f>IF(L56="","",IF(N56&lt;=0,"Paid",IF(M56&gt;0,"Partial",IF(AND(P56&lt;&gt;"",P56&lt;TODAY()),"Overdue","Unpaid"))))</x:f>
      </x:c>
      <x:c r="R56" s="42"/>
      <x:c r="S56" s="42"/>
      <x:c r="T56" s="37"/>
      <x:c r="U56" s="37"/>
    </x:row>
    <x:row r="57">
      <x:c r="A57" s="37"/>
      <x:c r="B57" s="59" t="str">
        <x:f>IF(C57="","","INV-"&amp;TEXT(C57,"yymmdd")&amp;"-"&amp;TEXT(ROW()-5,"0000"))</x:f>
      </x:c>
      <x:c r="C57" s="42"/>
      <x:c r="D57" s="37"/>
      <x:c r="E57" s="63" t="str">
        <x:f>IFERROR(INDEX('02_MEMBERS'!$C$6:$C$105,MATCH(D57,'02_MEMBERS'!$B$6:$B$105,0)),"")</x:f>
      </x:c>
      <x:c r="F57" s="63" t="str">
        <x:f>IFERROR(INDEX('02_MEMBERS'!$G$6:$G$105,MATCH(D57,'02_MEMBERS'!$B$6:$B$105,0)),"")</x:f>
      </x:c>
      <x:c r="G57" s="37"/>
      <x:c r="H57" s="37"/>
      <x:c r="I57" s="44"/>
      <x:c r="J57" s="44"/>
      <x:c r="K57" s="44"/>
      <x:c r="L57" s="76" t="str">
        <x:f>IF(I57="","",MAX(0,I57-J57+K57))</x:f>
      </x:c>
      <x:c r="M57" s="44"/>
      <x:c r="N57" s="76" t="str">
        <x:f>IF(L57="","",MAX(0,L57-M57))</x:f>
      </x:c>
      <x:c r="O57" s="37"/>
      <x:c r="P57" s="42"/>
      <x:c r="Q57" s="59" t="str">
        <x:f>IF(L57="","",IF(N57&lt;=0,"Paid",IF(M57&gt;0,"Partial",IF(AND(P57&lt;&gt;"",P57&lt;TODAY()),"Overdue","Unpaid"))))</x:f>
      </x:c>
      <x:c r="R57" s="42"/>
      <x:c r="S57" s="42"/>
      <x:c r="T57" s="37"/>
      <x:c r="U57" s="37"/>
    </x:row>
    <x:row r="58">
      <x:c r="A58" s="37"/>
      <x:c r="B58" s="59" t="str">
        <x:f>IF(C58="","","INV-"&amp;TEXT(C58,"yymmdd")&amp;"-"&amp;TEXT(ROW()-5,"0000"))</x:f>
      </x:c>
      <x:c r="C58" s="42"/>
      <x:c r="D58" s="37"/>
      <x:c r="E58" s="63" t="str">
        <x:f>IFERROR(INDEX('02_MEMBERS'!$C$6:$C$105,MATCH(D58,'02_MEMBERS'!$B$6:$B$105,0)),"")</x:f>
      </x:c>
      <x:c r="F58" s="63" t="str">
        <x:f>IFERROR(INDEX('02_MEMBERS'!$G$6:$G$105,MATCH(D58,'02_MEMBERS'!$B$6:$B$105,0)),"")</x:f>
      </x:c>
      <x:c r="G58" s="37"/>
      <x:c r="H58" s="37"/>
      <x:c r="I58" s="44"/>
      <x:c r="J58" s="44"/>
      <x:c r="K58" s="44"/>
      <x:c r="L58" s="76" t="str">
        <x:f>IF(I58="","",MAX(0,I58-J58+K58))</x:f>
      </x:c>
      <x:c r="M58" s="44"/>
      <x:c r="N58" s="76" t="str">
        <x:f>IF(L58="","",MAX(0,L58-M58))</x:f>
      </x:c>
      <x:c r="O58" s="37"/>
      <x:c r="P58" s="42"/>
      <x:c r="Q58" s="59" t="str">
        <x:f>IF(L58="","",IF(N58&lt;=0,"Paid",IF(M58&gt;0,"Partial",IF(AND(P58&lt;&gt;"",P58&lt;TODAY()),"Overdue","Unpaid"))))</x:f>
      </x:c>
      <x:c r="R58" s="42"/>
      <x:c r="S58" s="42"/>
      <x:c r="T58" s="37"/>
      <x:c r="U58" s="37"/>
    </x:row>
    <x:row r="59">
      <x:c r="A59" s="37"/>
      <x:c r="B59" s="59" t="str">
        <x:f>IF(C59="","","INV-"&amp;TEXT(C59,"yymmdd")&amp;"-"&amp;TEXT(ROW()-5,"0000"))</x:f>
      </x:c>
      <x:c r="C59" s="42"/>
      <x:c r="D59" s="37"/>
      <x:c r="E59" s="63" t="str">
        <x:f>IFERROR(INDEX('02_MEMBERS'!$C$6:$C$105,MATCH(D59,'02_MEMBERS'!$B$6:$B$105,0)),"")</x:f>
      </x:c>
      <x:c r="F59" s="63" t="str">
        <x:f>IFERROR(INDEX('02_MEMBERS'!$G$6:$G$105,MATCH(D59,'02_MEMBERS'!$B$6:$B$105,0)),"")</x:f>
      </x:c>
      <x:c r="G59" s="37"/>
      <x:c r="H59" s="37"/>
      <x:c r="I59" s="44"/>
      <x:c r="J59" s="44"/>
      <x:c r="K59" s="44"/>
      <x:c r="L59" s="76" t="str">
        <x:f>IF(I59="","",MAX(0,I59-J59+K59))</x:f>
      </x:c>
      <x:c r="M59" s="44"/>
      <x:c r="N59" s="76" t="str">
        <x:f>IF(L59="","",MAX(0,L59-M59))</x:f>
      </x:c>
      <x:c r="O59" s="37"/>
      <x:c r="P59" s="42"/>
      <x:c r="Q59" s="59" t="str">
        <x:f>IF(L59="","",IF(N59&lt;=0,"Paid",IF(M59&gt;0,"Partial",IF(AND(P59&lt;&gt;"",P59&lt;TODAY()),"Overdue","Unpaid"))))</x:f>
      </x:c>
      <x:c r="R59" s="42"/>
      <x:c r="S59" s="42"/>
      <x:c r="T59" s="37"/>
      <x:c r="U59" s="37"/>
    </x:row>
    <x:row r="60">
      <x:c r="A60" s="37"/>
      <x:c r="B60" s="59" t="str">
        <x:f>IF(C60="","","INV-"&amp;TEXT(C60,"yymmdd")&amp;"-"&amp;TEXT(ROW()-5,"0000"))</x:f>
      </x:c>
      <x:c r="C60" s="42"/>
      <x:c r="D60" s="37"/>
      <x:c r="E60" s="63" t="str">
        <x:f>IFERROR(INDEX('02_MEMBERS'!$C$6:$C$105,MATCH(D60,'02_MEMBERS'!$B$6:$B$105,0)),"")</x:f>
      </x:c>
      <x:c r="F60" s="63" t="str">
        <x:f>IFERROR(INDEX('02_MEMBERS'!$G$6:$G$105,MATCH(D60,'02_MEMBERS'!$B$6:$B$105,0)),"")</x:f>
      </x:c>
      <x:c r="G60" s="37"/>
      <x:c r="H60" s="37"/>
      <x:c r="I60" s="44"/>
      <x:c r="J60" s="44"/>
      <x:c r="K60" s="44"/>
      <x:c r="L60" s="76" t="str">
        <x:f>IF(I60="","",MAX(0,I60-J60+K60))</x:f>
      </x:c>
      <x:c r="M60" s="44"/>
      <x:c r="N60" s="76" t="str">
        <x:f>IF(L60="","",MAX(0,L60-M60))</x:f>
      </x:c>
      <x:c r="O60" s="37"/>
      <x:c r="P60" s="42"/>
      <x:c r="Q60" s="59" t="str">
        <x:f>IF(L60="","",IF(N60&lt;=0,"Paid",IF(M60&gt;0,"Partial",IF(AND(P60&lt;&gt;"",P60&lt;TODAY()),"Overdue","Unpaid"))))</x:f>
      </x:c>
      <x:c r="R60" s="42"/>
      <x:c r="S60" s="42"/>
      <x:c r="T60" s="37"/>
      <x:c r="U60" s="37"/>
    </x:row>
    <x:row r="61">
      <x:c r="A61" s="37"/>
      <x:c r="B61" s="59" t="str">
        <x:f>IF(C61="","","INV-"&amp;TEXT(C61,"yymmdd")&amp;"-"&amp;TEXT(ROW()-5,"0000"))</x:f>
      </x:c>
      <x:c r="C61" s="42"/>
      <x:c r="D61" s="37"/>
      <x:c r="E61" s="63" t="str">
        <x:f>IFERROR(INDEX('02_MEMBERS'!$C$6:$C$105,MATCH(D61,'02_MEMBERS'!$B$6:$B$105,0)),"")</x:f>
      </x:c>
      <x:c r="F61" s="63" t="str">
        <x:f>IFERROR(INDEX('02_MEMBERS'!$G$6:$G$105,MATCH(D61,'02_MEMBERS'!$B$6:$B$105,0)),"")</x:f>
      </x:c>
      <x:c r="G61" s="37"/>
      <x:c r="H61" s="37"/>
      <x:c r="I61" s="44"/>
      <x:c r="J61" s="44"/>
      <x:c r="K61" s="44"/>
      <x:c r="L61" s="76" t="str">
        <x:f>IF(I61="","",MAX(0,I61-J61+K61))</x:f>
      </x:c>
      <x:c r="M61" s="44"/>
      <x:c r="N61" s="76" t="str">
        <x:f>IF(L61="","",MAX(0,L61-M61))</x:f>
      </x:c>
      <x:c r="O61" s="37"/>
      <x:c r="P61" s="42"/>
      <x:c r="Q61" s="59" t="str">
        <x:f>IF(L61="","",IF(N61&lt;=0,"Paid",IF(M61&gt;0,"Partial",IF(AND(P61&lt;&gt;"",P61&lt;TODAY()),"Overdue","Unpaid"))))</x:f>
      </x:c>
      <x:c r="R61" s="42"/>
      <x:c r="S61" s="42"/>
      <x:c r="T61" s="37"/>
      <x:c r="U61" s="37"/>
    </x:row>
    <x:row r="62">
      <x:c r="A62" s="37"/>
      <x:c r="B62" s="59" t="str">
        <x:f>IF(C62="","","INV-"&amp;TEXT(C62,"yymmdd")&amp;"-"&amp;TEXT(ROW()-5,"0000"))</x:f>
      </x:c>
      <x:c r="C62" s="42"/>
      <x:c r="D62" s="37"/>
      <x:c r="E62" s="63" t="str">
        <x:f>IFERROR(INDEX('02_MEMBERS'!$C$6:$C$105,MATCH(D62,'02_MEMBERS'!$B$6:$B$105,0)),"")</x:f>
      </x:c>
      <x:c r="F62" s="63" t="str">
        <x:f>IFERROR(INDEX('02_MEMBERS'!$G$6:$G$105,MATCH(D62,'02_MEMBERS'!$B$6:$B$105,0)),"")</x:f>
      </x:c>
      <x:c r="G62" s="37"/>
      <x:c r="H62" s="37"/>
      <x:c r="I62" s="44"/>
      <x:c r="J62" s="44"/>
      <x:c r="K62" s="44"/>
      <x:c r="L62" s="76" t="str">
        <x:f>IF(I62="","",MAX(0,I62-J62+K62))</x:f>
      </x:c>
      <x:c r="M62" s="44"/>
      <x:c r="N62" s="76" t="str">
        <x:f>IF(L62="","",MAX(0,L62-M62))</x:f>
      </x:c>
      <x:c r="O62" s="37"/>
      <x:c r="P62" s="42"/>
      <x:c r="Q62" s="59" t="str">
        <x:f>IF(L62="","",IF(N62&lt;=0,"Paid",IF(M62&gt;0,"Partial",IF(AND(P62&lt;&gt;"",P62&lt;TODAY()),"Overdue","Unpaid"))))</x:f>
      </x:c>
      <x:c r="R62" s="42"/>
      <x:c r="S62" s="42"/>
      <x:c r="T62" s="37"/>
      <x:c r="U62" s="37"/>
    </x:row>
    <x:row r="63">
      <x:c r="A63" s="37"/>
      <x:c r="B63" s="59" t="str">
        <x:f>IF(C63="","","INV-"&amp;TEXT(C63,"yymmdd")&amp;"-"&amp;TEXT(ROW()-5,"0000"))</x:f>
      </x:c>
      <x:c r="C63" s="42"/>
      <x:c r="D63" s="37"/>
      <x:c r="E63" s="63" t="str">
        <x:f>IFERROR(INDEX('02_MEMBERS'!$C$6:$C$105,MATCH(D63,'02_MEMBERS'!$B$6:$B$105,0)),"")</x:f>
      </x:c>
      <x:c r="F63" s="63" t="str">
        <x:f>IFERROR(INDEX('02_MEMBERS'!$G$6:$G$105,MATCH(D63,'02_MEMBERS'!$B$6:$B$105,0)),"")</x:f>
      </x:c>
      <x:c r="G63" s="37"/>
      <x:c r="H63" s="37"/>
      <x:c r="I63" s="44"/>
      <x:c r="J63" s="44"/>
      <x:c r="K63" s="44"/>
      <x:c r="L63" s="76" t="str">
        <x:f>IF(I63="","",MAX(0,I63-J63+K63))</x:f>
      </x:c>
      <x:c r="M63" s="44"/>
      <x:c r="N63" s="76" t="str">
        <x:f>IF(L63="","",MAX(0,L63-M63))</x:f>
      </x:c>
      <x:c r="O63" s="37"/>
      <x:c r="P63" s="42"/>
      <x:c r="Q63" s="59" t="str">
        <x:f>IF(L63="","",IF(N63&lt;=0,"Paid",IF(M63&gt;0,"Partial",IF(AND(P63&lt;&gt;"",P63&lt;TODAY()),"Overdue","Unpaid"))))</x:f>
      </x:c>
      <x:c r="R63" s="42"/>
      <x:c r="S63" s="42"/>
      <x:c r="T63" s="37"/>
      <x:c r="U63" s="37"/>
    </x:row>
    <x:row r="64">
      <x:c r="A64" s="37"/>
      <x:c r="B64" s="59" t="str">
        <x:f>IF(C64="","","INV-"&amp;TEXT(C64,"yymmdd")&amp;"-"&amp;TEXT(ROW()-5,"0000"))</x:f>
      </x:c>
      <x:c r="C64" s="42"/>
      <x:c r="D64" s="37"/>
      <x:c r="E64" s="63" t="str">
        <x:f>IFERROR(INDEX('02_MEMBERS'!$C$6:$C$105,MATCH(D64,'02_MEMBERS'!$B$6:$B$105,0)),"")</x:f>
      </x:c>
      <x:c r="F64" s="63" t="str">
        <x:f>IFERROR(INDEX('02_MEMBERS'!$G$6:$G$105,MATCH(D64,'02_MEMBERS'!$B$6:$B$105,0)),"")</x:f>
      </x:c>
      <x:c r="G64" s="37"/>
      <x:c r="H64" s="37"/>
      <x:c r="I64" s="44"/>
      <x:c r="J64" s="44"/>
      <x:c r="K64" s="44"/>
      <x:c r="L64" s="76" t="str">
        <x:f>IF(I64="","",MAX(0,I64-J64+K64))</x:f>
      </x:c>
      <x:c r="M64" s="44"/>
      <x:c r="N64" s="76" t="str">
        <x:f>IF(L64="","",MAX(0,L64-M64))</x:f>
      </x:c>
      <x:c r="O64" s="37"/>
      <x:c r="P64" s="42"/>
      <x:c r="Q64" s="59" t="str">
        <x:f>IF(L64="","",IF(N64&lt;=0,"Paid",IF(M64&gt;0,"Partial",IF(AND(P64&lt;&gt;"",P64&lt;TODAY()),"Overdue","Unpaid"))))</x:f>
      </x:c>
      <x:c r="R64" s="42"/>
      <x:c r="S64" s="42"/>
      <x:c r="T64" s="37"/>
      <x:c r="U64" s="37"/>
    </x:row>
    <x:row r="65">
      <x:c r="A65" s="37"/>
      <x:c r="B65" s="59" t="str">
        <x:f>IF(C65="","","INV-"&amp;TEXT(C65,"yymmdd")&amp;"-"&amp;TEXT(ROW()-5,"0000"))</x:f>
      </x:c>
      <x:c r="C65" s="42"/>
      <x:c r="D65" s="37"/>
      <x:c r="E65" s="63" t="str">
        <x:f>IFERROR(INDEX('02_MEMBERS'!$C$6:$C$105,MATCH(D65,'02_MEMBERS'!$B$6:$B$105,0)),"")</x:f>
      </x:c>
      <x:c r="F65" s="63" t="str">
        <x:f>IFERROR(INDEX('02_MEMBERS'!$G$6:$G$105,MATCH(D65,'02_MEMBERS'!$B$6:$B$105,0)),"")</x:f>
      </x:c>
      <x:c r="G65" s="37"/>
      <x:c r="H65" s="37"/>
      <x:c r="I65" s="44"/>
      <x:c r="J65" s="44"/>
      <x:c r="K65" s="44"/>
      <x:c r="L65" s="76" t="str">
        <x:f>IF(I65="","",MAX(0,I65-J65+K65))</x:f>
      </x:c>
      <x:c r="M65" s="44"/>
      <x:c r="N65" s="76" t="str">
        <x:f>IF(L65="","",MAX(0,L65-M65))</x:f>
      </x:c>
      <x:c r="O65" s="37"/>
      <x:c r="P65" s="42"/>
      <x:c r="Q65" s="59" t="str">
        <x:f>IF(L65="","",IF(N65&lt;=0,"Paid",IF(M65&gt;0,"Partial",IF(AND(P65&lt;&gt;"",P65&lt;TODAY()),"Overdue","Unpaid"))))</x:f>
      </x:c>
      <x:c r="R65" s="42"/>
      <x:c r="S65" s="42"/>
      <x:c r="T65" s="37"/>
      <x:c r="U65" s="37"/>
    </x:row>
    <x:row r="66">
      <x:c r="A66" s="37"/>
      <x:c r="B66" s="59" t="str">
        <x:f>IF(C66="","","INV-"&amp;TEXT(C66,"yymmdd")&amp;"-"&amp;TEXT(ROW()-5,"0000"))</x:f>
      </x:c>
      <x:c r="C66" s="42"/>
      <x:c r="D66" s="37"/>
      <x:c r="E66" s="63" t="str">
        <x:f>IFERROR(INDEX('02_MEMBERS'!$C$6:$C$105,MATCH(D66,'02_MEMBERS'!$B$6:$B$105,0)),"")</x:f>
      </x:c>
      <x:c r="F66" s="63" t="str">
        <x:f>IFERROR(INDEX('02_MEMBERS'!$G$6:$G$105,MATCH(D66,'02_MEMBERS'!$B$6:$B$105,0)),"")</x:f>
      </x:c>
      <x:c r="G66" s="37"/>
      <x:c r="H66" s="37"/>
      <x:c r="I66" s="44"/>
      <x:c r="J66" s="44"/>
      <x:c r="K66" s="44"/>
      <x:c r="L66" s="76" t="str">
        <x:f>IF(I66="","",MAX(0,I66-J66+K66))</x:f>
      </x:c>
      <x:c r="M66" s="44"/>
      <x:c r="N66" s="76" t="str">
        <x:f>IF(L66="","",MAX(0,L66-M66))</x:f>
      </x:c>
      <x:c r="O66" s="37"/>
      <x:c r="P66" s="42"/>
      <x:c r="Q66" s="59" t="str">
        <x:f>IF(L66="","",IF(N66&lt;=0,"Paid",IF(M66&gt;0,"Partial",IF(AND(P66&lt;&gt;"",P66&lt;TODAY()),"Overdue","Unpaid"))))</x:f>
      </x:c>
      <x:c r="R66" s="42"/>
      <x:c r="S66" s="42"/>
      <x:c r="T66" s="37"/>
      <x:c r="U66" s="37"/>
    </x:row>
    <x:row r="67">
      <x:c r="A67" s="37"/>
      <x:c r="B67" s="59" t="str">
        <x:f>IF(C67="","","INV-"&amp;TEXT(C67,"yymmdd")&amp;"-"&amp;TEXT(ROW()-5,"0000"))</x:f>
      </x:c>
      <x:c r="C67" s="42"/>
      <x:c r="D67" s="37"/>
      <x:c r="E67" s="63" t="str">
        <x:f>IFERROR(INDEX('02_MEMBERS'!$C$6:$C$105,MATCH(D67,'02_MEMBERS'!$B$6:$B$105,0)),"")</x:f>
      </x:c>
      <x:c r="F67" s="63" t="str">
        <x:f>IFERROR(INDEX('02_MEMBERS'!$G$6:$G$105,MATCH(D67,'02_MEMBERS'!$B$6:$B$105,0)),"")</x:f>
      </x:c>
      <x:c r="G67" s="37"/>
      <x:c r="H67" s="37"/>
      <x:c r="I67" s="44"/>
      <x:c r="J67" s="44"/>
      <x:c r="K67" s="44"/>
      <x:c r="L67" s="76" t="str">
        <x:f>IF(I67="","",MAX(0,I67-J67+K67))</x:f>
      </x:c>
      <x:c r="M67" s="44"/>
      <x:c r="N67" s="76" t="str">
        <x:f>IF(L67="","",MAX(0,L67-M67))</x:f>
      </x:c>
      <x:c r="O67" s="37"/>
      <x:c r="P67" s="42"/>
      <x:c r="Q67" s="59" t="str">
        <x:f>IF(L67="","",IF(N67&lt;=0,"Paid",IF(M67&gt;0,"Partial",IF(AND(P67&lt;&gt;"",P67&lt;TODAY()),"Overdue","Unpaid"))))</x:f>
      </x:c>
      <x:c r="R67" s="42"/>
      <x:c r="S67" s="42"/>
      <x:c r="T67" s="37"/>
      <x:c r="U67" s="37"/>
    </x:row>
    <x:row r="68">
      <x:c r="A68" s="37"/>
      <x:c r="B68" s="59" t="str">
        <x:f>IF(C68="","","INV-"&amp;TEXT(C68,"yymmdd")&amp;"-"&amp;TEXT(ROW()-5,"0000"))</x:f>
      </x:c>
      <x:c r="C68" s="42"/>
      <x:c r="D68" s="37"/>
      <x:c r="E68" s="63" t="str">
        <x:f>IFERROR(INDEX('02_MEMBERS'!$C$6:$C$105,MATCH(D68,'02_MEMBERS'!$B$6:$B$105,0)),"")</x:f>
      </x:c>
      <x:c r="F68" s="63" t="str">
        <x:f>IFERROR(INDEX('02_MEMBERS'!$G$6:$G$105,MATCH(D68,'02_MEMBERS'!$B$6:$B$105,0)),"")</x:f>
      </x:c>
      <x:c r="G68" s="37"/>
      <x:c r="H68" s="37"/>
      <x:c r="I68" s="44"/>
      <x:c r="J68" s="44"/>
      <x:c r="K68" s="44"/>
      <x:c r="L68" s="76" t="str">
        <x:f>IF(I68="","",MAX(0,I68-J68+K68))</x:f>
      </x:c>
      <x:c r="M68" s="44"/>
      <x:c r="N68" s="76" t="str">
        <x:f>IF(L68="","",MAX(0,L68-M68))</x:f>
      </x:c>
      <x:c r="O68" s="37"/>
      <x:c r="P68" s="42"/>
      <x:c r="Q68" s="59" t="str">
        <x:f>IF(L68="","",IF(N68&lt;=0,"Paid",IF(M68&gt;0,"Partial",IF(AND(P68&lt;&gt;"",P68&lt;TODAY()),"Overdue","Unpaid"))))</x:f>
      </x:c>
      <x:c r="R68" s="42"/>
      <x:c r="S68" s="42"/>
      <x:c r="T68" s="37"/>
      <x:c r="U68" s="37"/>
    </x:row>
    <x:row r="69">
      <x:c r="A69" s="37"/>
      <x:c r="B69" s="59" t="str">
        <x:f>IF(C69="","","INV-"&amp;TEXT(C69,"yymmdd")&amp;"-"&amp;TEXT(ROW()-5,"0000"))</x:f>
      </x:c>
      <x:c r="C69" s="42"/>
      <x:c r="D69" s="37"/>
      <x:c r="E69" s="63" t="str">
        <x:f>IFERROR(INDEX('02_MEMBERS'!$C$6:$C$105,MATCH(D69,'02_MEMBERS'!$B$6:$B$105,0)),"")</x:f>
      </x:c>
      <x:c r="F69" s="63" t="str">
        <x:f>IFERROR(INDEX('02_MEMBERS'!$G$6:$G$105,MATCH(D69,'02_MEMBERS'!$B$6:$B$105,0)),"")</x:f>
      </x:c>
      <x:c r="G69" s="37"/>
      <x:c r="H69" s="37"/>
      <x:c r="I69" s="44"/>
      <x:c r="J69" s="44"/>
      <x:c r="K69" s="44"/>
      <x:c r="L69" s="76" t="str">
        <x:f>IF(I69="","",MAX(0,I69-J69+K69))</x:f>
      </x:c>
      <x:c r="M69" s="44"/>
      <x:c r="N69" s="76" t="str">
        <x:f>IF(L69="","",MAX(0,L69-M69))</x:f>
      </x:c>
      <x:c r="O69" s="37"/>
      <x:c r="P69" s="42"/>
      <x:c r="Q69" s="59" t="str">
        <x:f>IF(L69="","",IF(N69&lt;=0,"Paid",IF(M69&gt;0,"Partial",IF(AND(P69&lt;&gt;"",P69&lt;TODAY()),"Overdue","Unpaid"))))</x:f>
      </x:c>
      <x:c r="R69" s="42"/>
      <x:c r="S69" s="42"/>
      <x:c r="T69" s="37"/>
      <x:c r="U69" s="37"/>
    </x:row>
    <x:row r="70">
      <x:c r="A70" s="37"/>
      <x:c r="B70" s="59" t="str">
        <x:f>IF(C70="","","INV-"&amp;TEXT(C70,"yymmdd")&amp;"-"&amp;TEXT(ROW()-5,"0000"))</x:f>
      </x:c>
      <x:c r="C70" s="42"/>
      <x:c r="D70" s="37"/>
      <x:c r="E70" s="63" t="str">
        <x:f>IFERROR(INDEX('02_MEMBERS'!$C$6:$C$105,MATCH(D70,'02_MEMBERS'!$B$6:$B$105,0)),"")</x:f>
      </x:c>
      <x:c r="F70" s="63" t="str">
        <x:f>IFERROR(INDEX('02_MEMBERS'!$G$6:$G$105,MATCH(D70,'02_MEMBERS'!$B$6:$B$105,0)),"")</x:f>
      </x:c>
      <x:c r="G70" s="37"/>
      <x:c r="H70" s="37"/>
      <x:c r="I70" s="44"/>
      <x:c r="J70" s="44"/>
      <x:c r="K70" s="44"/>
      <x:c r="L70" s="76" t="str">
        <x:f>IF(I70="","",MAX(0,I70-J70+K70))</x:f>
      </x:c>
      <x:c r="M70" s="44"/>
      <x:c r="N70" s="76" t="str">
        <x:f>IF(L70="","",MAX(0,L70-M70))</x:f>
      </x:c>
      <x:c r="O70" s="37"/>
      <x:c r="P70" s="42"/>
      <x:c r="Q70" s="59" t="str">
        <x:f>IF(L70="","",IF(N70&lt;=0,"Paid",IF(M70&gt;0,"Partial",IF(AND(P70&lt;&gt;"",P70&lt;TODAY()),"Overdue","Unpaid"))))</x:f>
      </x:c>
      <x:c r="R70" s="42"/>
      <x:c r="S70" s="42"/>
      <x:c r="T70" s="37"/>
      <x:c r="U70" s="37"/>
    </x:row>
    <x:row r="71">
      <x:c r="A71" s="37"/>
      <x:c r="B71" s="59" t="str">
        <x:f>IF(C71="","","INV-"&amp;TEXT(C71,"yymmdd")&amp;"-"&amp;TEXT(ROW()-5,"0000"))</x:f>
      </x:c>
      <x:c r="C71" s="42"/>
      <x:c r="D71" s="37"/>
      <x:c r="E71" s="63" t="str">
        <x:f>IFERROR(INDEX('02_MEMBERS'!$C$6:$C$105,MATCH(D71,'02_MEMBERS'!$B$6:$B$105,0)),"")</x:f>
      </x:c>
      <x:c r="F71" s="63" t="str">
        <x:f>IFERROR(INDEX('02_MEMBERS'!$G$6:$G$105,MATCH(D71,'02_MEMBERS'!$B$6:$B$105,0)),"")</x:f>
      </x:c>
      <x:c r="G71" s="37"/>
      <x:c r="H71" s="37"/>
      <x:c r="I71" s="44"/>
      <x:c r="J71" s="44"/>
      <x:c r="K71" s="44"/>
      <x:c r="L71" s="76" t="str">
        <x:f>IF(I71="","",MAX(0,I71-J71+K71))</x:f>
      </x:c>
      <x:c r="M71" s="44"/>
      <x:c r="N71" s="76" t="str">
        <x:f>IF(L71="","",MAX(0,L71-M71))</x:f>
      </x:c>
      <x:c r="O71" s="37"/>
      <x:c r="P71" s="42"/>
      <x:c r="Q71" s="59" t="str">
        <x:f>IF(L71="","",IF(N71&lt;=0,"Paid",IF(M71&gt;0,"Partial",IF(AND(P71&lt;&gt;"",P71&lt;TODAY()),"Overdue","Unpaid"))))</x:f>
      </x:c>
      <x:c r="R71" s="42"/>
      <x:c r="S71" s="42"/>
      <x:c r="T71" s="37"/>
      <x:c r="U71" s="37"/>
    </x:row>
    <x:row r="72">
      <x:c r="A72" s="37"/>
      <x:c r="B72" s="59" t="str">
        <x:f>IF(C72="","","INV-"&amp;TEXT(C72,"yymmdd")&amp;"-"&amp;TEXT(ROW()-5,"0000"))</x:f>
      </x:c>
      <x:c r="C72" s="42"/>
      <x:c r="D72" s="37"/>
      <x:c r="E72" s="63" t="str">
        <x:f>IFERROR(INDEX('02_MEMBERS'!$C$6:$C$105,MATCH(D72,'02_MEMBERS'!$B$6:$B$105,0)),"")</x:f>
      </x:c>
      <x:c r="F72" s="63" t="str">
        <x:f>IFERROR(INDEX('02_MEMBERS'!$G$6:$G$105,MATCH(D72,'02_MEMBERS'!$B$6:$B$105,0)),"")</x:f>
      </x:c>
      <x:c r="G72" s="37"/>
      <x:c r="H72" s="37"/>
      <x:c r="I72" s="44"/>
      <x:c r="J72" s="44"/>
      <x:c r="K72" s="44"/>
      <x:c r="L72" s="76" t="str">
        <x:f>IF(I72="","",MAX(0,I72-J72+K72))</x:f>
      </x:c>
      <x:c r="M72" s="44"/>
      <x:c r="N72" s="76" t="str">
        <x:f>IF(L72="","",MAX(0,L72-M72))</x:f>
      </x:c>
      <x:c r="O72" s="37"/>
      <x:c r="P72" s="42"/>
      <x:c r="Q72" s="59" t="str">
        <x:f>IF(L72="","",IF(N72&lt;=0,"Paid",IF(M72&gt;0,"Partial",IF(AND(P72&lt;&gt;"",P72&lt;TODAY()),"Overdue","Unpaid"))))</x:f>
      </x:c>
      <x:c r="R72" s="42"/>
      <x:c r="S72" s="42"/>
      <x:c r="T72" s="37"/>
      <x:c r="U72" s="37"/>
    </x:row>
    <x:row r="73">
      <x:c r="A73" s="37"/>
      <x:c r="B73" s="59" t="str">
        <x:f>IF(C73="","","INV-"&amp;TEXT(C73,"yymmdd")&amp;"-"&amp;TEXT(ROW()-5,"0000"))</x:f>
      </x:c>
      <x:c r="C73" s="42"/>
      <x:c r="D73" s="37"/>
      <x:c r="E73" s="63" t="str">
        <x:f>IFERROR(INDEX('02_MEMBERS'!$C$6:$C$105,MATCH(D73,'02_MEMBERS'!$B$6:$B$105,0)),"")</x:f>
      </x:c>
      <x:c r="F73" s="63" t="str">
        <x:f>IFERROR(INDEX('02_MEMBERS'!$G$6:$G$105,MATCH(D73,'02_MEMBERS'!$B$6:$B$105,0)),"")</x:f>
      </x:c>
      <x:c r="G73" s="37"/>
      <x:c r="H73" s="37"/>
      <x:c r="I73" s="44"/>
      <x:c r="J73" s="44"/>
      <x:c r="K73" s="44"/>
      <x:c r="L73" s="76" t="str">
        <x:f>IF(I73="","",MAX(0,I73-J73+K73))</x:f>
      </x:c>
      <x:c r="M73" s="44"/>
      <x:c r="N73" s="76" t="str">
        <x:f>IF(L73="","",MAX(0,L73-M73))</x:f>
      </x:c>
      <x:c r="O73" s="37"/>
      <x:c r="P73" s="42"/>
      <x:c r="Q73" s="59" t="str">
        <x:f>IF(L73="","",IF(N73&lt;=0,"Paid",IF(M73&gt;0,"Partial",IF(AND(P73&lt;&gt;"",P73&lt;TODAY()),"Overdue","Unpaid"))))</x:f>
      </x:c>
      <x:c r="R73" s="42"/>
      <x:c r="S73" s="42"/>
      <x:c r="T73" s="37"/>
      <x:c r="U73" s="37"/>
    </x:row>
    <x:row r="74">
      <x:c r="A74" s="37"/>
      <x:c r="B74" s="59" t="str">
        <x:f>IF(C74="","","INV-"&amp;TEXT(C74,"yymmdd")&amp;"-"&amp;TEXT(ROW()-5,"0000"))</x:f>
      </x:c>
      <x:c r="C74" s="42"/>
      <x:c r="D74" s="37"/>
      <x:c r="E74" s="63" t="str">
        <x:f>IFERROR(INDEX('02_MEMBERS'!$C$6:$C$105,MATCH(D74,'02_MEMBERS'!$B$6:$B$105,0)),"")</x:f>
      </x:c>
      <x:c r="F74" s="63" t="str">
        <x:f>IFERROR(INDEX('02_MEMBERS'!$G$6:$G$105,MATCH(D74,'02_MEMBERS'!$B$6:$B$105,0)),"")</x:f>
      </x:c>
      <x:c r="G74" s="37"/>
      <x:c r="H74" s="37"/>
      <x:c r="I74" s="44"/>
      <x:c r="J74" s="44"/>
      <x:c r="K74" s="44"/>
      <x:c r="L74" s="76" t="str">
        <x:f>IF(I74="","",MAX(0,I74-J74+K74))</x:f>
      </x:c>
      <x:c r="M74" s="44"/>
      <x:c r="N74" s="76" t="str">
        <x:f>IF(L74="","",MAX(0,L74-M74))</x:f>
      </x:c>
      <x:c r="O74" s="37"/>
      <x:c r="P74" s="42"/>
      <x:c r="Q74" s="59" t="str">
        <x:f>IF(L74="","",IF(N74&lt;=0,"Paid",IF(M74&gt;0,"Partial",IF(AND(P74&lt;&gt;"",P74&lt;TODAY()),"Overdue","Unpaid"))))</x:f>
      </x:c>
      <x:c r="R74" s="42"/>
      <x:c r="S74" s="42"/>
      <x:c r="T74" s="37"/>
      <x:c r="U74" s="37"/>
    </x:row>
    <x:row r="75">
      <x:c r="A75" s="37"/>
      <x:c r="B75" s="59" t="str">
        <x:f>IF(C75="","","INV-"&amp;TEXT(C75,"yymmdd")&amp;"-"&amp;TEXT(ROW()-5,"0000"))</x:f>
      </x:c>
      <x:c r="C75" s="42"/>
      <x:c r="D75" s="37"/>
      <x:c r="E75" s="63" t="str">
        <x:f>IFERROR(INDEX('02_MEMBERS'!$C$6:$C$105,MATCH(D75,'02_MEMBERS'!$B$6:$B$105,0)),"")</x:f>
      </x:c>
      <x:c r="F75" s="63" t="str">
        <x:f>IFERROR(INDEX('02_MEMBERS'!$G$6:$G$105,MATCH(D75,'02_MEMBERS'!$B$6:$B$105,0)),"")</x:f>
      </x:c>
      <x:c r="G75" s="37"/>
      <x:c r="H75" s="37"/>
      <x:c r="I75" s="44"/>
      <x:c r="J75" s="44"/>
      <x:c r="K75" s="44"/>
      <x:c r="L75" s="76" t="str">
        <x:f>IF(I75="","",MAX(0,I75-J75+K75))</x:f>
      </x:c>
      <x:c r="M75" s="44"/>
      <x:c r="N75" s="76" t="str">
        <x:f>IF(L75="","",MAX(0,L75-M75))</x:f>
      </x:c>
      <x:c r="O75" s="37"/>
      <x:c r="P75" s="42"/>
      <x:c r="Q75" s="59" t="str">
        <x:f>IF(L75="","",IF(N75&lt;=0,"Paid",IF(M75&gt;0,"Partial",IF(AND(P75&lt;&gt;"",P75&lt;TODAY()),"Overdue","Unpaid"))))</x:f>
      </x:c>
      <x:c r="R75" s="42"/>
      <x:c r="S75" s="42"/>
      <x:c r="T75" s="37"/>
      <x:c r="U75" s="37"/>
    </x:row>
    <x:row r="76">
      <x:c r="A76" s="37"/>
      <x:c r="B76" s="59" t="str">
        <x:f>IF(C76="","","INV-"&amp;TEXT(C76,"yymmdd")&amp;"-"&amp;TEXT(ROW()-5,"0000"))</x:f>
      </x:c>
      <x:c r="C76" s="42"/>
      <x:c r="D76" s="37"/>
      <x:c r="E76" s="63" t="str">
        <x:f>IFERROR(INDEX('02_MEMBERS'!$C$6:$C$105,MATCH(D76,'02_MEMBERS'!$B$6:$B$105,0)),"")</x:f>
      </x:c>
      <x:c r="F76" s="63" t="str">
        <x:f>IFERROR(INDEX('02_MEMBERS'!$G$6:$G$105,MATCH(D76,'02_MEMBERS'!$B$6:$B$105,0)),"")</x:f>
      </x:c>
      <x:c r="G76" s="37"/>
      <x:c r="H76" s="37"/>
      <x:c r="I76" s="44"/>
      <x:c r="J76" s="44"/>
      <x:c r="K76" s="44"/>
      <x:c r="L76" s="76" t="str">
        <x:f>IF(I76="","",MAX(0,I76-J76+K76))</x:f>
      </x:c>
      <x:c r="M76" s="44"/>
      <x:c r="N76" s="76" t="str">
        <x:f>IF(L76="","",MAX(0,L76-M76))</x:f>
      </x:c>
      <x:c r="O76" s="37"/>
      <x:c r="P76" s="42"/>
      <x:c r="Q76" s="59" t="str">
        <x:f>IF(L76="","",IF(N76&lt;=0,"Paid",IF(M76&gt;0,"Partial",IF(AND(P76&lt;&gt;"",P76&lt;TODAY()),"Overdue","Unpaid"))))</x:f>
      </x:c>
      <x:c r="R76" s="42"/>
      <x:c r="S76" s="42"/>
      <x:c r="T76" s="37"/>
      <x:c r="U76" s="37"/>
    </x:row>
    <x:row r="77">
      <x:c r="A77" s="37"/>
      <x:c r="B77" s="59" t="str">
        <x:f>IF(C77="","","INV-"&amp;TEXT(C77,"yymmdd")&amp;"-"&amp;TEXT(ROW()-5,"0000"))</x:f>
      </x:c>
      <x:c r="C77" s="42"/>
      <x:c r="D77" s="37"/>
      <x:c r="E77" s="63" t="str">
        <x:f>IFERROR(INDEX('02_MEMBERS'!$C$6:$C$105,MATCH(D77,'02_MEMBERS'!$B$6:$B$105,0)),"")</x:f>
      </x:c>
      <x:c r="F77" s="63" t="str">
        <x:f>IFERROR(INDEX('02_MEMBERS'!$G$6:$G$105,MATCH(D77,'02_MEMBERS'!$B$6:$B$105,0)),"")</x:f>
      </x:c>
      <x:c r="G77" s="37"/>
      <x:c r="H77" s="37"/>
      <x:c r="I77" s="44"/>
      <x:c r="J77" s="44"/>
      <x:c r="K77" s="44"/>
      <x:c r="L77" s="76" t="str">
        <x:f>IF(I77="","",MAX(0,I77-J77+K77))</x:f>
      </x:c>
      <x:c r="M77" s="44"/>
      <x:c r="N77" s="76" t="str">
        <x:f>IF(L77="","",MAX(0,L77-M77))</x:f>
      </x:c>
      <x:c r="O77" s="37"/>
      <x:c r="P77" s="42"/>
      <x:c r="Q77" s="59" t="str">
        <x:f>IF(L77="","",IF(N77&lt;=0,"Paid",IF(M77&gt;0,"Partial",IF(AND(P77&lt;&gt;"",P77&lt;TODAY()),"Overdue","Unpaid"))))</x:f>
      </x:c>
      <x:c r="R77" s="42"/>
      <x:c r="S77" s="42"/>
      <x:c r="T77" s="37"/>
      <x:c r="U77" s="37"/>
    </x:row>
    <x:row r="78">
      <x:c r="A78" s="37"/>
      <x:c r="B78" s="59" t="str">
        <x:f>IF(C78="","","INV-"&amp;TEXT(C78,"yymmdd")&amp;"-"&amp;TEXT(ROW()-5,"0000"))</x:f>
      </x:c>
      <x:c r="C78" s="42"/>
      <x:c r="D78" s="37"/>
      <x:c r="E78" s="63" t="str">
        <x:f>IFERROR(INDEX('02_MEMBERS'!$C$6:$C$105,MATCH(D78,'02_MEMBERS'!$B$6:$B$105,0)),"")</x:f>
      </x:c>
      <x:c r="F78" s="63" t="str">
        <x:f>IFERROR(INDEX('02_MEMBERS'!$G$6:$G$105,MATCH(D78,'02_MEMBERS'!$B$6:$B$105,0)),"")</x:f>
      </x:c>
      <x:c r="G78" s="37"/>
      <x:c r="H78" s="37"/>
      <x:c r="I78" s="44"/>
      <x:c r="J78" s="44"/>
      <x:c r="K78" s="44"/>
      <x:c r="L78" s="76" t="str">
        <x:f>IF(I78="","",MAX(0,I78-J78+K78))</x:f>
      </x:c>
      <x:c r="M78" s="44"/>
      <x:c r="N78" s="76" t="str">
        <x:f>IF(L78="","",MAX(0,L78-M78))</x:f>
      </x:c>
      <x:c r="O78" s="37"/>
      <x:c r="P78" s="42"/>
      <x:c r="Q78" s="59" t="str">
        <x:f>IF(L78="","",IF(N78&lt;=0,"Paid",IF(M78&gt;0,"Partial",IF(AND(P78&lt;&gt;"",P78&lt;TODAY()),"Overdue","Unpaid"))))</x:f>
      </x:c>
      <x:c r="R78" s="42"/>
      <x:c r="S78" s="42"/>
      <x:c r="T78" s="37"/>
      <x:c r="U78" s="37"/>
    </x:row>
    <x:row r="79">
      <x:c r="A79" s="37"/>
      <x:c r="B79" s="59" t="str">
        <x:f>IF(C79="","","INV-"&amp;TEXT(C79,"yymmdd")&amp;"-"&amp;TEXT(ROW()-5,"0000"))</x:f>
      </x:c>
      <x:c r="C79" s="42"/>
      <x:c r="D79" s="37"/>
      <x:c r="E79" s="63" t="str">
        <x:f>IFERROR(INDEX('02_MEMBERS'!$C$6:$C$105,MATCH(D79,'02_MEMBERS'!$B$6:$B$105,0)),"")</x:f>
      </x:c>
      <x:c r="F79" s="63" t="str">
        <x:f>IFERROR(INDEX('02_MEMBERS'!$G$6:$G$105,MATCH(D79,'02_MEMBERS'!$B$6:$B$105,0)),"")</x:f>
      </x:c>
      <x:c r="G79" s="37"/>
      <x:c r="H79" s="37"/>
      <x:c r="I79" s="44"/>
      <x:c r="J79" s="44"/>
      <x:c r="K79" s="44"/>
      <x:c r="L79" s="76" t="str">
        <x:f>IF(I79="","",MAX(0,I79-J79+K79))</x:f>
      </x:c>
      <x:c r="M79" s="44"/>
      <x:c r="N79" s="76" t="str">
        <x:f>IF(L79="","",MAX(0,L79-M79))</x:f>
      </x:c>
      <x:c r="O79" s="37"/>
      <x:c r="P79" s="42"/>
      <x:c r="Q79" s="59" t="str">
        <x:f>IF(L79="","",IF(N79&lt;=0,"Paid",IF(M79&gt;0,"Partial",IF(AND(P79&lt;&gt;"",P79&lt;TODAY()),"Overdue","Unpaid"))))</x:f>
      </x:c>
      <x:c r="R79" s="42"/>
      <x:c r="S79" s="42"/>
      <x:c r="T79" s="37"/>
      <x:c r="U79" s="37"/>
    </x:row>
    <x:row r="80">
      <x:c r="A80" s="37"/>
      <x:c r="B80" s="59" t="str">
        <x:f>IF(C80="","","INV-"&amp;TEXT(C80,"yymmdd")&amp;"-"&amp;TEXT(ROW()-5,"0000"))</x:f>
      </x:c>
      <x:c r="C80" s="42"/>
      <x:c r="D80" s="37"/>
      <x:c r="E80" s="63" t="str">
        <x:f>IFERROR(INDEX('02_MEMBERS'!$C$6:$C$105,MATCH(D80,'02_MEMBERS'!$B$6:$B$105,0)),"")</x:f>
      </x:c>
      <x:c r="F80" s="63" t="str">
        <x:f>IFERROR(INDEX('02_MEMBERS'!$G$6:$G$105,MATCH(D80,'02_MEMBERS'!$B$6:$B$105,0)),"")</x:f>
      </x:c>
      <x:c r="G80" s="37"/>
      <x:c r="H80" s="37"/>
      <x:c r="I80" s="44"/>
      <x:c r="J80" s="44"/>
      <x:c r="K80" s="44"/>
      <x:c r="L80" s="76" t="str">
        <x:f>IF(I80="","",MAX(0,I80-J80+K80))</x:f>
      </x:c>
      <x:c r="M80" s="44"/>
      <x:c r="N80" s="76" t="str">
        <x:f>IF(L80="","",MAX(0,L80-M80))</x:f>
      </x:c>
      <x:c r="O80" s="37"/>
      <x:c r="P80" s="42"/>
      <x:c r="Q80" s="59" t="str">
        <x:f>IF(L80="","",IF(N80&lt;=0,"Paid",IF(M80&gt;0,"Partial",IF(AND(P80&lt;&gt;"",P80&lt;TODAY()),"Overdue","Unpaid"))))</x:f>
      </x:c>
      <x:c r="R80" s="42"/>
      <x:c r="S80" s="42"/>
      <x:c r="T80" s="37"/>
      <x:c r="U80" s="37"/>
    </x:row>
    <x:row r="81">
      <x:c r="A81" s="37"/>
      <x:c r="B81" s="59" t="str">
        <x:f>IF(C81="","","INV-"&amp;TEXT(C81,"yymmdd")&amp;"-"&amp;TEXT(ROW()-5,"0000"))</x:f>
      </x:c>
      <x:c r="C81" s="42"/>
      <x:c r="D81" s="37"/>
      <x:c r="E81" s="63" t="str">
        <x:f>IFERROR(INDEX('02_MEMBERS'!$C$6:$C$105,MATCH(D81,'02_MEMBERS'!$B$6:$B$105,0)),"")</x:f>
      </x:c>
      <x:c r="F81" s="63" t="str">
        <x:f>IFERROR(INDEX('02_MEMBERS'!$G$6:$G$105,MATCH(D81,'02_MEMBERS'!$B$6:$B$105,0)),"")</x:f>
      </x:c>
      <x:c r="G81" s="37"/>
      <x:c r="H81" s="37"/>
      <x:c r="I81" s="44"/>
      <x:c r="J81" s="44"/>
      <x:c r="K81" s="44"/>
      <x:c r="L81" s="76" t="str">
        <x:f>IF(I81="","",MAX(0,I81-J81+K81))</x:f>
      </x:c>
      <x:c r="M81" s="44"/>
      <x:c r="N81" s="76" t="str">
        <x:f>IF(L81="","",MAX(0,L81-M81))</x:f>
      </x:c>
      <x:c r="O81" s="37"/>
      <x:c r="P81" s="42"/>
      <x:c r="Q81" s="59" t="str">
        <x:f>IF(L81="","",IF(N81&lt;=0,"Paid",IF(M81&gt;0,"Partial",IF(AND(P81&lt;&gt;"",P81&lt;TODAY()),"Overdue","Unpaid"))))</x:f>
      </x:c>
      <x:c r="R81" s="42"/>
      <x:c r="S81" s="42"/>
      <x:c r="T81" s="37"/>
      <x:c r="U81" s="37"/>
    </x:row>
    <x:row r="82">
      <x:c r="A82" s="37"/>
      <x:c r="B82" s="59" t="str">
        <x:f>IF(C82="","","INV-"&amp;TEXT(C82,"yymmdd")&amp;"-"&amp;TEXT(ROW()-5,"0000"))</x:f>
      </x:c>
      <x:c r="C82" s="42"/>
      <x:c r="D82" s="37"/>
      <x:c r="E82" s="63" t="str">
        <x:f>IFERROR(INDEX('02_MEMBERS'!$C$6:$C$105,MATCH(D82,'02_MEMBERS'!$B$6:$B$105,0)),"")</x:f>
      </x:c>
      <x:c r="F82" s="63" t="str">
        <x:f>IFERROR(INDEX('02_MEMBERS'!$G$6:$G$105,MATCH(D82,'02_MEMBERS'!$B$6:$B$105,0)),"")</x:f>
      </x:c>
      <x:c r="G82" s="37"/>
      <x:c r="H82" s="37"/>
      <x:c r="I82" s="44"/>
      <x:c r="J82" s="44"/>
      <x:c r="K82" s="44"/>
      <x:c r="L82" s="76" t="str">
        <x:f>IF(I82="","",MAX(0,I82-J82+K82))</x:f>
      </x:c>
      <x:c r="M82" s="44"/>
      <x:c r="N82" s="76" t="str">
        <x:f>IF(L82="","",MAX(0,L82-M82))</x:f>
      </x:c>
      <x:c r="O82" s="37"/>
      <x:c r="P82" s="42"/>
      <x:c r="Q82" s="59" t="str">
        <x:f>IF(L82="","",IF(N82&lt;=0,"Paid",IF(M82&gt;0,"Partial",IF(AND(P82&lt;&gt;"",P82&lt;TODAY()),"Overdue","Unpaid"))))</x:f>
      </x:c>
      <x:c r="R82" s="42"/>
      <x:c r="S82" s="42"/>
      <x:c r="T82" s="37"/>
      <x:c r="U82" s="37"/>
    </x:row>
    <x:row r="83">
      <x:c r="A83" s="37"/>
      <x:c r="B83" s="59" t="str">
        <x:f>IF(C83="","","INV-"&amp;TEXT(C83,"yymmdd")&amp;"-"&amp;TEXT(ROW()-5,"0000"))</x:f>
      </x:c>
      <x:c r="C83" s="42"/>
      <x:c r="D83" s="37"/>
      <x:c r="E83" s="63" t="str">
        <x:f>IFERROR(INDEX('02_MEMBERS'!$C$6:$C$105,MATCH(D83,'02_MEMBERS'!$B$6:$B$105,0)),"")</x:f>
      </x:c>
      <x:c r="F83" s="63" t="str">
        <x:f>IFERROR(INDEX('02_MEMBERS'!$G$6:$G$105,MATCH(D83,'02_MEMBERS'!$B$6:$B$105,0)),"")</x:f>
      </x:c>
      <x:c r="G83" s="37"/>
      <x:c r="H83" s="37"/>
      <x:c r="I83" s="44"/>
      <x:c r="J83" s="44"/>
      <x:c r="K83" s="44"/>
      <x:c r="L83" s="76" t="str">
        <x:f>IF(I83="","",MAX(0,I83-J83+K83))</x:f>
      </x:c>
      <x:c r="M83" s="44"/>
      <x:c r="N83" s="76" t="str">
        <x:f>IF(L83="","",MAX(0,L83-M83))</x:f>
      </x:c>
      <x:c r="O83" s="37"/>
      <x:c r="P83" s="42"/>
      <x:c r="Q83" s="59" t="str">
        <x:f>IF(L83="","",IF(N83&lt;=0,"Paid",IF(M83&gt;0,"Partial",IF(AND(P83&lt;&gt;"",P83&lt;TODAY()),"Overdue","Unpaid"))))</x:f>
      </x:c>
      <x:c r="R83" s="42"/>
      <x:c r="S83" s="42"/>
      <x:c r="T83" s="37"/>
      <x:c r="U83" s="37"/>
    </x:row>
    <x:row r="84">
      <x:c r="A84" s="37"/>
      <x:c r="B84" s="59" t="str">
        <x:f>IF(C84="","","INV-"&amp;TEXT(C84,"yymmdd")&amp;"-"&amp;TEXT(ROW()-5,"0000"))</x:f>
      </x:c>
      <x:c r="C84" s="42"/>
      <x:c r="D84" s="37"/>
      <x:c r="E84" s="63" t="str">
        <x:f>IFERROR(INDEX('02_MEMBERS'!$C$6:$C$105,MATCH(D84,'02_MEMBERS'!$B$6:$B$105,0)),"")</x:f>
      </x:c>
      <x:c r="F84" s="63" t="str">
        <x:f>IFERROR(INDEX('02_MEMBERS'!$G$6:$G$105,MATCH(D84,'02_MEMBERS'!$B$6:$B$105,0)),"")</x:f>
      </x:c>
      <x:c r="G84" s="37"/>
      <x:c r="H84" s="37"/>
      <x:c r="I84" s="44"/>
      <x:c r="J84" s="44"/>
      <x:c r="K84" s="44"/>
      <x:c r="L84" s="76" t="str">
        <x:f>IF(I84="","",MAX(0,I84-J84+K84))</x:f>
      </x:c>
      <x:c r="M84" s="44"/>
      <x:c r="N84" s="76" t="str">
        <x:f>IF(L84="","",MAX(0,L84-M84))</x:f>
      </x:c>
      <x:c r="O84" s="37"/>
      <x:c r="P84" s="42"/>
      <x:c r="Q84" s="59" t="str">
        <x:f>IF(L84="","",IF(N84&lt;=0,"Paid",IF(M84&gt;0,"Partial",IF(AND(P84&lt;&gt;"",P84&lt;TODAY()),"Overdue","Unpaid"))))</x:f>
      </x:c>
      <x:c r="R84" s="42"/>
      <x:c r="S84" s="42"/>
      <x:c r="T84" s="37"/>
      <x:c r="U84" s="37"/>
    </x:row>
    <x:row r="85">
      <x:c r="A85" s="37"/>
      <x:c r="B85" s="59" t="str">
        <x:f>IF(C85="","","INV-"&amp;TEXT(C85,"yymmdd")&amp;"-"&amp;TEXT(ROW()-5,"0000"))</x:f>
      </x:c>
      <x:c r="C85" s="42"/>
      <x:c r="D85" s="37"/>
      <x:c r="E85" s="63" t="str">
        <x:f>IFERROR(INDEX('02_MEMBERS'!$C$6:$C$105,MATCH(D85,'02_MEMBERS'!$B$6:$B$105,0)),"")</x:f>
      </x:c>
      <x:c r="F85" s="63" t="str">
        <x:f>IFERROR(INDEX('02_MEMBERS'!$G$6:$G$105,MATCH(D85,'02_MEMBERS'!$B$6:$B$105,0)),"")</x:f>
      </x:c>
      <x:c r="G85" s="37"/>
      <x:c r="H85" s="37"/>
      <x:c r="I85" s="44"/>
      <x:c r="J85" s="44"/>
      <x:c r="K85" s="44"/>
      <x:c r="L85" s="76" t="str">
        <x:f>IF(I85="","",MAX(0,I85-J85+K85))</x:f>
      </x:c>
      <x:c r="M85" s="44"/>
      <x:c r="N85" s="76" t="str">
        <x:f>IF(L85="","",MAX(0,L85-M85))</x:f>
      </x:c>
      <x:c r="O85" s="37"/>
      <x:c r="P85" s="42"/>
      <x:c r="Q85" s="59" t="str">
        <x:f>IF(L85="","",IF(N85&lt;=0,"Paid",IF(M85&gt;0,"Partial",IF(AND(P85&lt;&gt;"",P85&lt;TODAY()),"Overdue","Unpaid"))))</x:f>
      </x:c>
      <x:c r="R85" s="42"/>
      <x:c r="S85" s="42"/>
      <x:c r="T85" s="37"/>
      <x:c r="U85" s="37"/>
    </x:row>
    <x:row r="86">
      <x:c r="A86" s="37"/>
      <x:c r="B86" s="59" t="str">
        <x:f>IF(C86="","","INV-"&amp;TEXT(C86,"yymmdd")&amp;"-"&amp;TEXT(ROW()-5,"0000"))</x:f>
      </x:c>
      <x:c r="C86" s="42"/>
      <x:c r="D86" s="37"/>
      <x:c r="E86" s="63" t="str">
        <x:f>IFERROR(INDEX('02_MEMBERS'!$C$6:$C$105,MATCH(D86,'02_MEMBERS'!$B$6:$B$105,0)),"")</x:f>
      </x:c>
      <x:c r="F86" s="63" t="str">
        <x:f>IFERROR(INDEX('02_MEMBERS'!$G$6:$G$105,MATCH(D86,'02_MEMBERS'!$B$6:$B$105,0)),"")</x:f>
      </x:c>
      <x:c r="G86" s="37"/>
      <x:c r="H86" s="37"/>
      <x:c r="I86" s="44"/>
      <x:c r="J86" s="44"/>
      <x:c r="K86" s="44"/>
      <x:c r="L86" s="76" t="str">
        <x:f>IF(I86="","",MAX(0,I86-J86+K86))</x:f>
      </x:c>
      <x:c r="M86" s="44"/>
      <x:c r="N86" s="76" t="str">
        <x:f>IF(L86="","",MAX(0,L86-M86))</x:f>
      </x:c>
      <x:c r="O86" s="37"/>
      <x:c r="P86" s="42"/>
      <x:c r="Q86" s="59" t="str">
        <x:f>IF(L86="","",IF(N86&lt;=0,"Paid",IF(M86&gt;0,"Partial",IF(AND(P86&lt;&gt;"",P86&lt;TODAY()),"Overdue","Unpaid"))))</x:f>
      </x:c>
      <x:c r="R86" s="42"/>
      <x:c r="S86" s="42"/>
      <x:c r="T86" s="37"/>
      <x:c r="U86" s="37"/>
    </x:row>
    <x:row r="87">
      <x:c r="A87" s="37"/>
      <x:c r="B87" s="59" t="str">
        <x:f>IF(C87="","","INV-"&amp;TEXT(C87,"yymmdd")&amp;"-"&amp;TEXT(ROW()-5,"0000"))</x:f>
      </x:c>
      <x:c r="C87" s="42"/>
      <x:c r="D87" s="37"/>
      <x:c r="E87" s="63" t="str">
        <x:f>IFERROR(INDEX('02_MEMBERS'!$C$6:$C$105,MATCH(D87,'02_MEMBERS'!$B$6:$B$105,0)),"")</x:f>
      </x:c>
      <x:c r="F87" s="63" t="str">
        <x:f>IFERROR(INDEX('02_MEMBERS'!$G$6:$G$105,MATCH(D87,'02_MEMBERS'!$B$6:$B$105,0)),"")</x:f>
      </x:c>
      <x:c r="G87" s="37"/>
      <x:c r="H87" s="37"/>
      <x:c r="I87" s="44"/>
      <x:c r="J87" s="44"/>
      <x:c r="K87" s="44"/>
      <x:c r="L87" s="76" t="str">
        <x:f>IF(I87="","",MAX(0,I87-J87+K87))</x:f>
      </x:c>
      <x:c r="M87" s="44"/>
      <x:c r="N87" s="76" t="str">
        <x:f>IF(L87="","",MAX(0,L87-M87))</x:f>
      </x:c>
      <x:c r="O87" s="37"/>
      <x:c r="P87" s="42"/>
      <x:c r="Q87" s="59" t="str">
        <x:f>IF(L87="","",IF(N87&lt;=0,"Paid",IF(M87&gt;0,"Partial",IF(AND(P87&lt;&gt;"",P87&lt;TODAY()),"Overdue","Unpaid"))))</x:f>
      </x:c>
      <x:c r="R87" s="42"/>
      <x:c r="S87" s="42"/>
      <x:c r="T87" s="37"/>
      <x:c r="U87" s="37"/>
    </x:row>
    <x:row r="88">
      <x:c r="A88" s="37"/>
      <x:c r="B88" s="59" t="str">
        <x:f>IF(C88="","","INV-"&amp;TEXT(C88,"yymmdd")&amp;"-"&amp;TEXT(ROW()-5,"0000"))</x:f>
      </x:c>
      <x:c r="C88" s="42"/>
      <x:c r="D88" s="37"/>
      <x:c r="E88" s="63" t="str">
        <x:f>IFERROR(INDEX('02_MEMBERS'!$C$6:$C$105,MATCH(D88,'02_MEMBERS'!$B$6:$B$105,0)),"")</x:f>
      </x:c>
      <x:c r="F88" s="63" t="str">
        <x:f>IFERROR(INDEX('02_MEMBERS'!$G$6:$G$105,MATCH(D88,'02_MEMBERS'!$B$6:$B$105,0)),"")</x:f>
      </x:c>
      <x:c r="G88" s="37"/>
      <x:c r="H88" s="37"/>
      <x:c r="I88" s="44"/>
      <x:c r="J88" s="44"/>
      <x:c r="K88" s="44"/>
      <x:c r="L88" s="76" t="str">
        <x:f>IF(I88="","",MAX(0,I88-J88+K88))</x:f>
      </x:c>
      <x:c r="M88" s="44"/>
      <x:c r="N88" s="76" t="str">
        <x:f>IF(L88="","",MAX(0,L88-M88))</x:f>
      </x:c>
      <x:c r="O88" s="37"/>
      <x:c r="P88" s="42"/>
      <x:c r="Q88" s="59" t="str">
        <x:f>IF(L88="","",IF(N88&lt;=0,"Paid",IF(M88&gt;0,"Partial",IF(AND(P88&lt;&gt;"",P88&lt;TODAY()),"Overdue","Unpaid"))))</x:f>
      </x:c>
      <x:c r="R88" s="42"/>
      <x:c r="S88" s="42"/>
      <x:c r="T88" s="37"/>
      <x:c r="U88" s="37"/>
    </x:row>
    <x:row r="89">
      <x:c r="A89" s="37"/>
      <x:c r="B89" s="59" t="str">
        <x:f>IF(C89="","","INV-"&amp;TEXT(C89,"yymmdd")&amp;"-"&amp;TEXT(ROW()-5,"0000"))</x:f>
      </x:c>
      <x:c r="C89" s="42"/>
      <x:c r="D89" s="37"/>
      <x:c r="E89" s="63" t="str">
        <x:f>IFERROR(INDEX('02_MEMBERS'!$C$6:$C$105,MATCH(D89,'02_MEMBERS'!$B$6:$B$105,0)),"")</x:f>
      </x:c>
      <x:c r="F89" s="63" t="str">
        <x:f>IFERROR(INDEX('02_MEMBERS'!$G$6:$G$105,MATCH(D89,'02_MEMBERS'!$B$6:$B$105,0)),"")</x:f>
      </x:c>
      <x:c r="G89" s="37"/>
      <x:c r="H89" s="37"/>
      <x:c r="I89" s="44"/>
      <x:c r="J89" s="44"/>
      <x:c r="K89" s="44"/>
      <x:c r="L89" s="76" t="str">
        <x:f>IF(I89="","",MAX(0,I89-J89+K89))</x:f>
      </x:c>
      <x:c r="M89" s="44"/>
      <x:c r="N89" s="76" t="str">
        <x:f>IF(L89="","",MAX(0,L89-M89))</x:f>
      </x:c>
      <x:c r="O89" s="37"/>
      <x:c r="P89" s="42"/>
      <x:c r="Q89" s="59" t="str">
        <x:f>IF(L89="","",IF(N89&lt;=0,"Paid",IF(M89&gt;0,"Partial",IF(AND(P89&lt;&gt;"",P89&lt;TODAY()),"Overdue","Unpaid"))))</x:f>
      </x:c>
      <x:c r="R89" s="42"/>
      <x:c r="S89" s="42"/>
      <x:c r="T89" s="37"/>
      <x:c r="U89" s="37"/>
    </x:row>
    <x:row r="90">
      <x:c r="A90" s="37"/>
      <x:c r="B90" s="59" t="str">
        <x:f>IF(C90="","","INV-"&amp;TEXT(C90,"yymmdd")&amp;"-"&amp;TEXT(ROW()-5,"0000"))</x:f>
      </x:c>
      <x:c r="C90" s="42"/>
      <x:c r="D90" s="37"/>
      <x:c r="E90" s="63" t="str">
        <x:f>IFERROR(INDEX('02_MEMBERS'!$C$6:$C$105,MATCH(D90,'02_MEMBERS'!$B$6:$B$105,0)),"")</x:f>
      </x:c>
      <x:c r="F90" s="63" t="str">
        <x:f>IFERROR(INDEX('02_MEMBERS'!$G$6:$G$105,MATCH(D90,'02_MEMBERS'!$B$6:$B$105,0)),"")</x:f>
      </x:c>
      <x:c r="G90" s="37"/>
      <x:c r="H90" s="37"/>
      <x:c r="I90" s="44"/>
      <x:c r="J90" s="44"/>
      <x:c r="K90" s="44"/>
      <x:c r="L90" s="76" t="str">
        <x:f>IF(I90="","",MAX(0,I90-J90+K90))</x:f>
      </x:c>
      <x:c r="M90" s="44"/>
      <x:c r="N90" s="76" t="str">
        <x:f>IF(L90="","",MAX(0,L90-M90))</x:f>
      </x:c>
      <x:c r="O90" s="37"/>
      <x:c r="P90" s="42"/>
      <x:c r="Q90" s="59" t="str">
        <x:f>IF(L90="","",IF(N90&lt;=0,"Paid",IF(M90&gt;0,"Partial",IF(AND(P90&lt;&gt;"",P90&lt;TODAY()),"Overdue","Unpaid"))))</x:f>
      </x:c>
      <x:c r="R90" s="42"/>
      <x:c r="S90" s="42"/>
      <x:c r="T90" s="37"/>
      <x:c r="U90" s="37"/>
    </x:row>
    <x:row r="91">
      <x:c r="A91" s="37"/>
      <x:c r="B91" s="59" t="str">
        <x:f>IF(C91="","","INV-"&amp;TEXT(C91,"yymmdd")&amp;"-"&amp;TEXT(ROW()-5,"0000"))</x:f>
      </x:c>
      <x:c r="C91" s="42"/>
      <x:c r="D91" s="37"/>
      <x:c r="E91" s="63" t="str">
        <x:f>IFERROR(INDEX('02_MEMBERS'!$C$6:$C$105,MATCH(D91,'02_MEMBERS'!$B$6:$B$105,0)),"")</x:f>
      </x:c>
      <x:c r="F91" s="63" t="str">
        <x:f>IFERROR(INDEX('02_MEMBERS'!$G$6:$G$105,MATCH(D91,'02_MEMBERS'!$B$6:$B$105,0)),"")</x:f>
      </x:c>
      <x:c r="G91" s="37"/>
      <x:c r="H91" s="37"/>
      <x:c r="I91" s="44"/>
      <x:c r="J91" s="44"/>
      <x:c r="K91" s="44"/>
      <x:c r="L91" s="76" t="str">
        <x:f>IF(I91="","",MAX(0,I91-J91+K91))</x:f>
      </x:c>
      <x:c r="M91" s="44"/>
      <x:c r="N91" s="76" t="str">
        <x:f>IF(L91="","",MAX(0,L91-M91))</x:f>
      </x:c>
      <x:c r="O91" s="37"/>
      <x:c r="P91" s="42"/>
      <x:c r="Q91" s="59" t="str">
        <x:f>IF(L91="","",IF(N91&lt;=0,"Paid",IF(M91&gt;0,"Partial",IF(AND(P91&lt;&gt;"",P91&lt;TODAY()),"Overdue","Unpaid"))))</x:f>
      </x:c>
      <x:c r="R91" s="42"/>
      <x:c r="S91" s="42"/>
      <x:c r="T91" s="37"/>
      <x:c r="U91" s="37"/>
    </x:row>
    <x:row r="92">
      <x:c r="A92" s="37"/>
      <x:c r="B92" s="59" t="str">
        <x:f>IF(C92="","","INV-"&amp;TEXT(C92,"yymmdd")&amp;"-"&amp;TEXT(ROW()-5,"0000"))</x:f>
      </x:c>
      <x:c r="C92" s="42"/>
      <x:c r="D92" s="37"/>
      <x:c r="E92" s="63" t="str">
        <x:f>IFERROR(INDEX('02_MEMBERS'!$C$6:$C$105,MATCH(D92,'02_MEMBERS'!$B$6:$B$105,0)),"")</x:f>
      </x:c>
      <x:c r="F92" s="63" t="str">
        <x:f>IFERROR(INDEX('02_MEMBERS'!$G$6:$G$105,MATCH(D92,'02_MEMBERS'!$B$6:$B$105,0)),"")</x:f>
      </x:c>
      <x:c r="G92" s="37"/>
      <x:c r="H92" s="37"/>
      <x:c r="I92" s="44"/>
      <x:c r="J92" s="44"/>
      <x:c r="K92" s="44"/>
      <x:c r="L92" s="76" t="str">
        <x:f>IF(I92="","",MAX(0,I92-J92+K92))</x:f>
      </x:c>
      <x:c r="M92" s="44"/>
      <x:c r="N92" s="76" t="str">
        <x:f>IF(L92="","",MAX(0,L92-M92))</x:f>
      </x:c>
      <x:c r="O92" s="37"/>
      <x:c r="P92" s="42"/>
      <x:c r="Q92" s="59" t="str">
        <x:f>IF(L92="","",IF(N92&lt;=0,"Paid",IF(M92&gt;0,"Partial",IF(AND(P92&lt;&gt;"",P92&lt;TODAY()),"Overdue","Unpaid"))))</x:f>
      </x:c>
      <x:c r="R92" s="42"/>
      <x:c r="S92" s="42"/>
      <x:c r="T92" s="37"/>
      <x:c r="U92" s="37"/>
    </x:row>
    <x:row r="93">
      <x:c r="A93" s="37"/>
      <x:c r="B93" s="59" t="str">
        <x:f>IF(C93="","","INV-"&amp;TEXT(C93,"yymmdd")&amp;"-"&amp;TEXT(ROW()-5,"0000"))</x:f>
      </x:c>
      <x:c r="C93" s="42"/>
      <x:c r="D93" s="37"/>
      <x:c r="E93" s="63" t="str">
        <x:f>IFERROR(INDEX('02_MEMBERS'!$C$6:$C$105,MATCH(D93,'02_MEMBERS'!$B$6:$B$105,0)),"")</x:f>
      </x:c>
      <x:c r="F93" s="63" t="str">
        <x:f>IFERROR(INDEX('02_MEMBERS'!$G$6:$G$105,MATCH(D93,'02_MEMBERS'!$B$6:$B$105,0)),"")</x:f>
      </x:c>
      <x:c r="G93" s="37"/>
      <x:c r="H93" s="37"/>
      <x:c r="I93" s="44"/>
      <x:c r="J93" s="44"/>
      <x:c r="K93" s="44"/>
      <x:c r="L93" s="76" t="str">
        <x:f>IF(I93="","",MAX(0,I93-J93+K93))</x:f>
      </x:c>
      <x:c r="M93" s="44"/>
      <x:c r="N93" s="76" t="str">
        <x:f>IF(L93="","",MAX(0,L93-M93))</x:f>
      </x:c>
      <x:c r="O93" s="37"/>
      <x:c r="P93" s="42"/>
      <x:c r="Q93" s="59" t="str">
        <x:f>IF(L93="","",IF(N93&lt;=0,"Paid",IF(M93&gt;0,"Partial",IF(AND(P93&lt;&gt;"",P93&lt;TODAY()),"Overdue","Unpaid"))))</x:f>
      </x:c>
      <x:c r="R93" s="42"/>
      <x:c r="S93" s="42"/>
      <x:c r="T93" s="37"/>
      <x:c r="U93" s="37"/>
    </x:row>
    <x:row r="94">
      <x:c r="A94" s="37"/>
      <x:c r="B94" s="59" t="str">
        <x:f>IF(C94="","","INV-"&amp;TEXT(C94,"yymmdd")&amp;"-"&amp;TEXT(ROW()-5,"0000"))</x:f>
      </x:c>
      <x:c r="C94" s="42"/>
      <x:c r="D94" s="37"/>
      <x:c r="E94" s="63" t="str">
        <x:f>IFERROR(INDEX('02_MEMBERS'!$C$6:$C$105,MATCH(D94,'02_MEMBERS'!$B$6:$B$105,0)),"")</x:f>
      </x:c>
      <x:c r="F94" s="63" t="str">
        <x:f>IFERROR(INDEX('02_MEMBERS'!$G$6:$G$105,MATCH(D94,'02_MEMBERS'!$B$6:$B$105,0)),"")</x:f>
      </x:c>
      <x:c r="G94" s="37"/>
      <x:c r="H94" s="37"/>
      <x:c r="I94" s="44"/>
      <x:c r="J94" s="44"/>
      <x:c r="K94" s="44"/>
      <x:c r="L94" s="76" t="str">
        <x:f>IF(I94="","",MAX(0,I94-J94+K94))</x:f>
      </x:c>
      <x:c r="M94" s="44"/>
      <x:c r="N94" s="76" t="str">
        <x:f>IF(L94="","",MAX(0,L94-M94))</x:f>
      </x:c>
      <x:c r="O94" s="37"/>
      <x:c r="P94" s="42"/>
      <x:c r="Q94" s="59" t="str">
        <x:f>IF(L94="","",IF(N94&lt;=0,"Paid",IF(M94&gt;0,"Partial",IF(AND(P94&lt;&gt;"",P94&lt;TODAY()),"Overdue","Unpaid"))))</x:f>
      </x:c>
      <x:c r="R94" s="42"/>
      <x:c r="S94" s="42"/>
      <x:c r="T94" s="37"/>
      <x:c r="U94" s="37"/>
    </x:row>
    <x:row r="95">
      <x:c r="A95" s="37"/>
      <x:c r="B95" s="59" t="str">
        <x:f>IF(C95="","","INV-"&amp;TEXT(C95,"yymmdd")&amp;"-"&amp;TEXT(ROW()-5,"0000"))</x:f>
      </x:c>
      <x:c r="C95" s="42"/>
      <x:c r="D95" s="37"/>
      <x:c r="E95" s="63" t="str">
        <x:f>IFERROR(INDEX('02_MEMBERS'!$C$6:$C$105,MATCH(D95,'02_MEMBERS'!$B$6:$B$105,0)),"")</x:f>
      </x:c>
      <x:c r="F95" s="63" t="str">
        <x:f>IFERROR(INDEX('02_MEMBERS'!$G$6:$G$105,MATCH(D95,'02_MEMBERS'!$B$6:$B$105,0)),"")</x:f>
      </x:c>
      <x:c r="G95" s="37"/>
      <x:c r="H95" s="37"/>
      <x:c r="I95" s="44"/>
      <x:c r="J95" s="44"/>
      <x:c r="K95" s="44"/>
      <x:c r="L95" s="76" t="str">
        <x:f>IF(I95="","",MAX(0,I95-J95+K95))</x:f>
      </x:c>
      <x:c r="M95" s="44"/>
      <x:c r="N95" s="76" t="str">
        <x:f>IF(L95="","",MAX(0,L95-M95))</x:f>
      </x:c>
      <x:c r="O95" s="37"/>
      <x:c r="P95" s="42"/>
      <x:c r="Q95" s="59" t="str">
        <x:f>IF(L95="","",IF(N95&lt;=0,"Paid",IF(M95&gt;0,"Partial",IF(AND(P95&lt;&gt;"",P95&lt;TODAY()),"Overdue","Unpaid"))))</x:f>
      </x:c>
      <x:c r="R95" s="42"/>
      <x:c r="S95" s="42"/>
      <x:c r="T95" s="37"/>
      <x:c r="U95" s="37"/>
    </x:row>
    <x:row r="96">
      <x:c r="A96" s="37"/>
      <x:c r="B96" s="59" t="str">
        <x:f>IF(C96="","","INV-"&amp;TEXT(C96,"yymmdd")&amp;"-"&amp;TEXT(ROW()-5,"0000"))</x:f>
      </x:c>
      <x:c r="C96" s="42"/>
      <x:c r="D96" s="37"/>
      <x:c r="E96" s="63" t="str">
        <x:f>IFERROR(INDEX('02_MEMBERS'!$C$6:$C$105,MATCH(D96,'02_MEMBERS'!$B$6:$B$105,0)),"")</x:f>
      </x:c>
      <x:c r="F96" s="63" t="str">
        <x:f>IFERROR(INDEX('02_MEMBERS'!$G$6:$G$105,MATCH(D96,'02_MEMBERS'!$B$6:$B$105,0)),"")</x:f>
      </x:c>
      <x:c r="G96" s="37"/>
      <x:c r="H96" s="37"/>
      <x:c r="I96" s="44"/>
      <x:c r="J96" s="44"/>
      <x:c r="K96" s="44"/>
      <x:c r="L96" s="76" t="str">
        <x:f>IF(I96="","",MAX(0,I96-J96+K96))</x:f>
      </x:c>
      <x:c r="M96" s="44"/>
      <x:c r="N96" s="76" t="str">
        <x:f>IF(L96="","",MAX(0,L96-M96))</x:f>
      </x:c>
      <x:c r="O96" s="37"/>
      <x:c r="P96" s="42"/>
      <x:c r="Q96" s="59" t="str">
        <x:f>IF(L96="","",IF(N96&lt;=0,"Paid",IF(M96&gt;0,"Partial",IF(AND(P96&lt;&gt;"",P96&lt;TODAY()),"Overdue","Unpaid"))))</x:f>
      </x:c>
      <x:c r="R96" s="42"/>
      <x:c r="S96" s="42"/>
      <x:c r="T96" s="37"/>
      <x:c r="U96" s="37"/>
    </x:row>
    <x:row r="97">
      <x:c r="A97" s="37"/>
      <x:c r="B97" s="59" t="str">
        <x:f>IF(C97="","","INV-"&amp;TEXT(C97,"yymmdd")&amp;"-"&amp;TEXT(ROW()-5,"0000"))</x:f>
      </x:c>
      <x:c r="C97" s="42"/>
      <x:c r="D97" s="37"/>
      <x:c r="E97" s="63" t="str">
        <x:f>IFERROR(INDEX('02_MEMBERS'!$C$6:$C$105,MATCH(D97,'02_MEMBERS'!$B$6:$B$105,0)),"")</x:f>
      </x:c>
      <x:c r="F97" s="63" t="str">
        <x:f>IFERROR(INDEX('02_MEMBERS'!$G$6:$G$105,MATCH(D97,'02_MEMBERS'!$B$6:$B$105,0)),"")</x:f>
      </x:c>
      <x:c r="G97" s="37"/>
      <x:c r="H97" s="37"/>
      <x:c r="I97" s="44"/>
      <x:c r="J97" s="44"/>
      <x:c r="K97" s="44"/>
      <x:c r="L97" s="76" t="str">
        <x:f>IF(I97="","",MAX(0,I97-J97+K97))</x:f>
      </x:c>
      <x:c r="M97" s="44"/>
      <x:c r="N97" s="76" t="str">
        <x:f>IF(L97="","",MAX(0,L97-M97))</x:f>
      </x:c>
      <x:c r="O97" s="37"/>
      <x:c r="P97" s="42"/>
      <x:c r="Q97" s="59" t="str">
        <x:f>IF(L97="","",IF(N97&lt;=0,"Paid",IF(M97&gt;0,"Partial",IF(AND(P97&lt;&gt;"",P97&lt;TODAY()),"Overdue","Unpaid"))))</x:f>
      </x:c>
      <x:c r="R97" s="42"/>
      <x:c r="S97" s="42"/>
      <x:c r="T97" s="37"/>
      <x:c r="U97" s="37"/>
    </x:row>
    <x:row r="98">
      <x:c r="A98" s="37"/>
      <x:c r="B98" s="59" t="str">
        <x:f>IF(C98="","","INV-"&amp;TEXT(C98,"yymmdd")&amp;"-"&amp;TEXT(ROW()-5,"0000"))</x:f>
      </x:c>
      <x:c r="C98" s="42"/>
      <x:c r="D98" s="37"/>
      <x:c r="E98" s="63" t="str">
        <x:f>IFERROR(INDEX('02_MEMBERS'!$C$6:$C$105,MATCH(D98,'02_MEMBERS'!$B$6:$B$105,0)),"")</x:f>
      </x:c>
      <x:c r="F98" s="63" t="str">
        <x:f>IFERROR(INDEX('02_MEMBERS'!$G$6:$G$105,MATCH(D98,'02_MEMBERS'!$B$6:$B$105,0)),"")</x:f>
      </x:c>
      <x:c r="G98" s="37"/>
      <x:c r="H98" s="37"/>
      <x:c r="I98" s="44"/>
      <x:c r="J98" s="44"/>
      <x:c r="K98" s="44"/>
      <x:c r="L98" s="76" t="str">
        <x:f>IF(I98="","",MAX(0,I98-J98+K98))</x:f>
      </x:c>
      <x:c r="M98" s="44"/>
      <x:c r="N98" s="76" t="str">
        <x:f>IF(L98="","",MAX(0,L98-M98))</x:f>
      </x:c>
      <x:c r="O98" s="37"/>
      <x:c r="P98" s="42"/>
      <x:c r="Q98" s="59" t="str">
        <x:f>IF(L98="","",IF(N98&lt;=0,"Paid",IF(M98&gt;0,"Partial",IF(AND(P98&lt;&gt;"",P98&lt;TODAY()),"Overdue","Unpaid"))))</x:f>
      </x:c>
      <x:c r="R98" s="42"/>
      <x:c r="S98" s="42"/>
      <x:c r="T98" s="37"/>
      <x:c r="U98" s="37"/>
    </x:row>
    <x:row r="99">
      <x:c r="A99" s="37"/>
      <x:c r="B99" s="59" t="str">
        <x:f>IF(C99="","","INV-"&amp;TEXT(C99,"yymmdd")&amp;"-"&amp;TEXT(ROW()-5,"0000"))</x:f>
      </x:c>
      <x:c r="C99" s="42"/>
      <x:c r="D99" s="37"/>
      <x:c r="E99" s="63" t="str">
        <x:f>IFERROR(INDEX('02_MEMBERS'!$C$6:$C$105,MATCH(D99,'02_MEMBERS'!$B$6:$B$105,0)),"")</x:f>
      </x:c>
      <x:c r="F99" s="63" t="str">
        <x:f>IFERROR(INDEX('02_MEMBERS'!$G$6:$G$105,MATCH(D99,'02_MEMBERS'!$B$6:$B$105,0)),"")</x:f>
      </x:c>
      <x:c r="G99" s="37"/>
      <x:c r="H99" s="37"/>
      <x:c r="I99" s="44"/>
      <x:c r="J99" s="44"/>
      <x:c r="K99" s="44"/>
      <x:c r="L99" s="76" t="str">
        <x:f>IF(I99="","",MAX(0,I99-J99+K99))</x:f>
      </x:c>
      <x:c r="M99" s="44"/>
      <x:c r="N99" s="76" t="str">
        <x:f>IF(L99="","",MAX(0,L99-M99))</x:f>
      </x:c>
      <x:c r="O99" s="37"/>
      <x:c r="P99" s="42"/>
      <x:c r="Q99" s="59" t="str">
        <x:f>IF(L99="","",IF(N99&lt;=0,"Paid",IF(M99&gt;0,"Partial",IF(AND(P99&lt;&gt;"",P99&lt;TODAY()),"Overdue","Unpaid"))))</x:f>
      </x:c>
      <x:c r="R99" s="42"/>
      <x:c r="S99" s="42"/>
      <x:c r="T99" s="37"/>
      <x:c r="U99" s="37"/>
    </x:row>
    <x:row r="100">
      <x:c r="A100" s="37"/>
      <x:c r="B100" s="59" t="str">
        <x:f>IF(C100="","","INV-"&amp;TEXT(C100,"yymmdd")&amp;"-"&amp;TEXT(ROW()-5,"0000"))</x:f>
      </x:c>
      <x:c r="C100" s="42"/>
      <x:c r="D100" s="37"/>
      <x:c r="E100" s="63" t="str">
        <x:f>IFERROR(INDEX('02_MEMBERS'!$C$6:$C$105,MATCH(D100,'02_MEMBERS'!$B$6:$B$105,0)),"")</x:f>
      </x:c>
      <x:c r="F100" s="63" t="str">
        <x:f>IFERROR(INDEX('02_MEMBERS'!$G$6:$G$105,MATCH(D100,'02_MEMBERS'!$B$6:$B$105,0)),"")</x:f>
      </x:c>
      <x:c r="G100" s="37"/>
      <x:c r="H100" s="37"/>
      <x:c r="I100" s="44"/>
      <x:c r="J100" s="44"/>
      <x:c r="K100" s="44"/>
      <x:c r="L100" s="76" t="str">
        <x:f>IF(I100="","",MAX(0,I100-J100+K100))</x:f>
      </x:c>
      <x:c r="M100" s="44"/>
      <x:c r="N100" s="76" t="str">
        <x:f>IF(L100="","",MAX(0,L100-M100))</x:f>
      </x:c>
      <x:c r="O100" s="37"/>
      <x:c r="P100" s="42"/>
      <x:c r="Q100" s="59" t="str">
        <x:f>IF(L100="","",IF(N100&lt;=0,"Paid",IF(M100&gt;0,"Partial",IF(AND(P100&lt;&gt;"",P100&lt;TODAY()),"Overdue","Unpaid"))))</x:f>
      </x:c>
      <x:c r="R100" s="42"/>
      <x:c r="S100" s="42"/>
      <x:c r="T100" s="37"/>
      <x:c r="U100" s="37"/>
    </x:row>
    <x:row r="101">
      <x:c r="A101" s="37"/>
      <x:c r="B101" s="59" t="str">
        <x:f>IF(C101="","","INV-"&amp;TEXT(C101,"yymmdd")&amp;"-"&amp;TEXT(ROW()-5,"0000"))</x:f>
      </x:c>
      <x:c r="C101" s="42"/>
      <x:c r="D101" s="37"/>
      <x:c r="E101" s="63" t="str">
        <x:f>IFERROR(INDEX('02_MEMBERS'!$C$6:$C$105,MATCH(D101,'02_MEMBERS'!$B$6:$B$105,0)),"")</x:f>
      </x:c>
      <x:c r="F101" s="63" t="str">
        <x:f>IFERROR(INDEX('02_MEMBERS'!$G$6:$G$105,MATCH(D101,'02_MEMBERS'!$B$6:$B$105,0)),"")</x:f>
      </x:c>
      <x:c r="G101" s="37"/>
      <x:c r="H101" s="37"/>
      <x:c r="I101" s="44"/>
      <x:c r="J101" s="44"/>
      <x:c r="K101" s="44"/>
      <x:c r="L101" s="76" t="str">
        <x:f>IF(I101="","",MAX(0,I101-J101+K101))</x:f>
      </x:c>
      <x:c r="M101" s="44"/>
      <x:c r="N101" s="76" t="str">
        <x:f>IF(L101="","",MAX(0,L101-M101))</x:f>
      </x:c>
      <x:c r="O101" s="37"/>
      <x:c r="P101" s="42"/>
      <x:c r="Q101" s="59" t="str">
        <x:f>IF(L101="","",IF(N101&lt;=0,"Paid",IF(M101&gt;0,"Partial",IF(AND(P101&lt;&gt;"",P101&lt;TODAY()),"Overdue","Unpaid"))))</x:f>
      </x:c>
      <x:c r="R101" s="42"/>
      <x:c r="S101" s="42"/>
      <x:c r="T101" s="37"/>
      <x:c r="U101" s="37"/>
    </x:row>
    <x:row r="102">
      <x:c r="A102" s="37"/>
      <x:c r="B102" s="59" t="str">
        <x:f>IF(C102="","","INV-"&amp;TEXT(C102,"yymmdd")&amp;"-"&amp;TEXT(ROW()-5,"0000"))</x:f>
      </x:c>
      <x:c r="C102" s="42"/>
      <x:c r="D102" s="37"/>
      <x:c r="E102" s="63" t="str">
        <x:f>IFERROR(INDEX('02_MEMBERS'!$C$6:$C$105,MATCH(D102,'02_MEMBERS'!$B$6:$B$105,0)),"")</x:f>
      </x:c>
      <x:c r="F102" s="63" t="str">
        <x:f>IFERROR(INDEX('02_MEMBERS'!$G$6:$G$105,MATCH(D102,'02_MEMBERS'!$B$6:$B$105,0)),"")</x:f>
      </x:c>
      <x:c r="G102" s="37"/>
      <x:c r="H102" s="37"/>
      <x:c r="I102" s="44"/>
      <x:c r="J102" s="44"/>
      <x:c r="K102" s="44"/>
      <x:c r="L102" s="76" t="str">
        <x:f>IF(I102="","",MAX(0,I102-J102+K102))</x:f>
      </x:c>
      <x:c r="M102" s="44"/>
      <x:c r="N102" s="76" t="str">
        <x:f>IF(L102="","",MAX(0,L102-M102))</x:f>
      </x:c>
      <x:c r="O102" s="37"/>
      <x:c r="P102" s="42"/>
      <x:c r="Q102" s="59" t="str">
        <x:f>IF(L102="","",IF(N102&lt;=0,"Paid",IF(M102&gt;0,"Partial",IF(AND(P102&lt;&gt;"",P102&lt;TODAY()),"Overdue","Unpaid"))))</x:f>
      </x:c>
      <x:c r="R102" s="42"/>
      <x:c r="S102" s="42"/>
      <x:c r="T102" s="37"/>
      <x:c r="U102" s="37"/>
    </x:row>
    <x:row r="103">
      <x:c r="A103" s="37"/>
      <x:c r="B103" s="59" t="str">
        <x:f>IF(C103="","","INV-"&amp;TEXT(C103,"yymmdd")&amp;"-"&amp;TEXT(ROW()-5,"0000"))</x:f>
      </x:c>
      <x:c r="C103" s="42"/>
      <x:c r="D103" s="37"/>
      <x:c r="E103" s="63" t="str">
        <x:f>IFERROR(INDEX('02_MEMBERS'!$C$6:$C$105,MATCH(D103,'02_MEMBERS'!$B$6:$B$105,0)),"")</x:f>
      </x:c>
      <x:c r="F103" s="63" t="str">
        <x:f>IFERROR(INDEX('02_MEMBERS'!$G$6:$G$105,MATCH(D103,'02_MEMBERS'!$B$6:$B$105,0)),"")</x:f>
      </x:c>
      <x:c r="G103" s="37"/>
      <x:c r="H103" s="37"/>
      <x:c r="I103" s="44"/>
      <x:c r="J103" s="44"/>
      <x:c r="K103" s="44"/>
      <x:c r="L103" s="76" t="str">
        <x:f>IF(I103="","",MAX(0,I103-J103+K103))</x:f>
      </x:c>
      <x:c r="M103" s="44"/>
      <x:c r="N103" s="76" t="str">
        <x:f>IF(L103="","",MAX(0,L103-M103))</x:f>
      </x:c>
      <x:c r="O103" s="37"/>
      <x:c r="P103" s="42"/>
      <x:c r="Q103" s="59" t="str">
        <x:f>IF(L103="","",IF(N103&lt;=0,"Paid",IF(M103&gt;0,"Partial",IF(AND(P103&lt;&gt;"",P103&lt;TODAY()),"Overdue","Unpaid"))))</x:f>
      </x:c>
      <x:c r="R103" s="42"/>
      <x:c r="S103" s="42"/>
      <x:c r="T103" s="37"/>
      <x:c r="U103" s="37"/>
    </x:row>
    <x:row r="104">
      <x:c r="A104" s="37"/>
      <x:c r="B104" s="59" t="str">
        <x:f>IF(C104="","","INV-"&amp;TEXT(C104,"yymmdd")&amp;"-"&amp;TEXT(ROW()-5,"0000"))</x:f>
      </x:c>
      <x:c r="C104" s="42"/>
      <x:c r="D104" s="37"/>
      <x:c r="E104" s="63" t="str">
        <x:f>IFERROR(INDEX('02_MEMBERS'!$C$6:$C$105,MATCH(D104,'02_MEMBERS'!$B$6:$B$105,0)),"")</x:f>
      </x:c>
      <x:c r="F104" s="63" t="str">
        <x:f>IFERROR(INDEX('02_MEMBERS'!$G$6:$G$105,MATCH(D104,'02_MEMBERS'!$B$6:$B$105,0)),"")</x:f>
      </x:c>
      <x:c r="G104" s="37"/>
      <x:c r="H104" s="37"/>
      <x:c r="I104" s="44"/>
      <x:c r="J104" s="44"/>
      <x:c r="K104" s="44"/>
      <x:c r="L104" s="76" t="str">
        <x:f>IF(I104="","",MAX(0,I104-J104+K104))</x:f>
      </x:c>
      <x:c r="M104" s="44"/>
      <x:c r="N104" s="76" t="str">
        <x:f>IF(L104="","",MAX(0,L104-M104))</x:f>
      </x:c>
      <x:c r="O104" s="37"/>
      <x:c r="P104" s="42"/>
      <x:c r="Q104" s="59" t="str">
        <x:f>IF(L104="","",IF(N104&lt;=0,"Paid",IF(M104&gt;0,"Partial",IF(AND(P104&lt;&gt;"",P104&lt;TODAY()),"Overdue","Unpaid"))))</x:f>
      </x:c>
      <x:c r="R104" s="42"/>
      <x:c r="S104" s="42"/>
      <x:c r="T104" s="37"/>
      <x:c r="U104" s="37"/>
    </x:row>
    <x:row r="105">
      <x:c r="A105" s="37"/>
      <x:c r="B105" s="59" t="str">
        <x:f>IF(C105="","","INV-"&amp;TEXT(C105,"yymmdd")&amp;"-"&amp;TEXT(ROW()-5,"0000"))</x:f>
      </x:c>
      <x:c r="C105" s="42"/>
      <x:c r="D105" s="37"/>
      <x:c r="E105" s="63" t="str">
        <x:f>IFERROR(INDEX('02_MEMBERS'!$C$6:$C$105,MATCH(D105,'02_MEMBERS'!$B$6:$B$105,0)),"")</x:f>
      </x:c>
      <x:c r="F105" s="63" t="str">
        <x:f>IFERROR(INDEX('02_MEMBERS'!$G$6:$G$105,MATCH(D105,'02_MEMBERS'!$B$6:$B$105,0)),"")</x:f>
      </x:c>
      <x:c r="G105" s="37"/>
      <x:c r="H105" s="37"/>
      <x:c r="I105" s="44"/>
      <x:c r="J105" s="44"/>
      <x:c r="K105" s="44"/>
      <x:c r="L105" s="76" t="str">
        <x:f>IF(I105="","",MAX(0,I105-J105+K105))</x:f>
      </x:c>
      <x:c r="M105" s="44"/>
      <x:c r="N105" s="76" t="str">
        <x:f>IF(L105="","",MAX(0,L105-M105))</x:f>
      </x:c>
      <x:c r="O105" s="37"/>
      <x:c r="P105" s="42"/>
      <x:c r="Q105" s="59" t="str">
        <x:f>IF(L105="","",IF(N105&lt;=0,"Paid",IF(M105&gt;0,"Partial",IF(AND(P105&lt;&gt;"",P105&lt;TODAY()),"Overdue","Unpaid"))))</x:f>
      </x:c>
      <x:c r="R105" s="42"/>
      <x:c r="S105" s="42"/>
      <x:c r="T105" s="37"/>
      <x:c r="U105" s="37"/>
    </x:row>
  </x:sheetData>
  <x:mergeCells>
    <x:mergeCell ref="A1:U1"/>
    <x:mergeCell ref="A2:U2"/>
    <x:mergeCell ref="A4:U4"/>
  </x:mergeCells>
  <x:conditionalFormatting sqref="Q6:Q105">
    <x:cfRule type="expression" dxfId="2" priority="1">
      <x:formula>$Q6="Overdue"</x:formula>
    </x:cfRule>
  </x:conditionalFormatting>
  <x:dataValidations count="5">
    <x:dataValidation type="list" sqref="A6:A105">
      <x:formula1>99_SETTINGS!$D$19:$D$20</x:formula1>
    </x:dataValidation>
    <x:dataValidation type="list" sqref="D6:D105">
      <x:formula1>'02_MEMBERS'!$B$6:$B$105</x:formula1>
    </x:dataValidation>
    <x:dataValidation type="list" sqref="G6:G105">
      <x:formula1>99_SETTINGS!$I$5:$I$11</x:formula1>
    </x:dataValidation>
    <x:dataValidation type="list" sqref="H6:H105">
      <x:formula1>99_SETTINGS!$E$5:$E$11</x:formula1>
    </x:dataValidation>
    <x:dataValidation type="list" sqref="O6:O105">
      <x:formula1>99_SETTINGS!$K$5:$K$11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7a54cc5a7a4e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8" hidden="0" customWidth="1"/>
    <x:col min="5" max="5" width="24" hidden="0" customWidth="1"/>
    <x:col min="6" max="6" width="22" hidden="0" customWidth="1"/>
    <x:col min="7" max="7" width="30" hidden="0" customWidth="1"/>
    <x:col min="8" max="8" width="16" hidden="0" customWidth="1"/>
    <x:col min="9" max="9" width="12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3" hidden="0" customWidth="1"/>
    <x:col min="15" max="15" width="15" hidden="0" customWidth="1"/>
    <x:col min="16" max="16" width="16" hidden="0" customWidth="1"/>
    <x:col min="17" max="17" width="12" hidden="0" customWidth="1"/>
    <x:col min="18" max="18" width="13" hidden="0" customWidth="1"/>
    <x:col min="19" max="19" width="30" hidden="0" customWidth="1"/>
  </x:cols>
  <x:sheetData>
    <x:row r="1" ht="34" customHeight="1">
      <x:c r="A1" s="4" t="str">
        <x:v>EXPENSE &amp; CASH-OUT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6" customHeight="1">
      <x:c r="A2" s="10" t="str">
        <x:v>Record all costs: rent, payroll, utilities, marketing, supplies, repairs and equipment.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4">
      <x:c r="A4" s="53" t="str">
        <x:v>Yellow = staff input | Grey/green = automatic calculation | Demo rows can be replaced with real data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</x:row>
    <x:row r="5" ht="34" customHeight="1">
      <x:c r="A5" s="18" t="str">
        <x:v>Record Type</x:v>
      </x:c>
      <x:c r="B5" s="18" t="str">
        <x:v>Expense ID</x:v>
      </x:c>
      <x:c r="C5" s="18" t="str">
        <x:v>Expense Date</x:v>
      </x:c>
      <x:c r="D5" s="18" t="str">
        <x:v>Branch</x:v>
      </x:c>
      <x:c r="E5" s="18" t="str">
        <x:v>Expense Category</x:v>
      </x:c>
      <x:c r="F5" s="18" t="str">
        <x:v>Vendor</x:v>
      </x:c>
      <x:c r="G5" s="18" t="str">
        <x:v>Description</x:v>
      </x:c>
      <x:c r="H5" s="18" t="str">
        <x:v>Amount Before Tax</x:v>
      </x:c>
      <x:c r="I5" s="18" t="str">
        <x:v>Tax</x:v>
      </x:c>
      <x:c r="J5" s="18" t="str">
        <x:v>Total Expense</x:v>
      </x:c>
      <x:c r="K5" s="18" t="str">
        <x:v>Amount Paid</x:v>
      </x:c>
      <x:c r="L5" s="18" t="str">
        <x:v>Balance Due</x:v>
      </x:c>
      <x:c r="M5" s="18" t="str">
        <x:v>Payment Method</x:v>
      </x:c>
      <x:c r="N5" s="18" t="str">
        <x:v>Due Date</x:v>
      </x:c>
      <x:c r="O5" s="18" t="str">
        <x:v>Payment Status</x:v>
      </x:c>
      <x:c r="P5" s="18" t="str">
        <x:v>Fixed / Variable</x:v>
      </x:c>
      <x:c r="Q5" s="18" t="str">
        <x:v>Recurring?</x:v>
      </x:c>
      <x:c r="R5" s="18" t="str">
        <x:v>Paid Date</x:v>
      </x:c>
      <x:c r="S5" s="18" t="str">
        <x:v>Notes</x:v>
      </x:c>
    </x:row>
    <x:row r="6">
      <x:c r="A6" s="37" t="str">
        <x:v>DEMO</x:v>
      </x:c>
      <x:c r="B6" s="59" t="str">
        <x:f>IF(C6="","","EXP-"&amp;TEXT(C6,"yymmdd")&amp;"-"&amp;TEXT(ROW()-5,"0000"))</x:f>
        <x:v>EXP-260102-0001</x:v>
      </x:c>
      <x:c r="C6" s="42" t="n">
        <x:v>46024</x:v>
      </x:c>
      <x:c r="D6" s="37" t="str">
        <x:v>Main Studio</x:v>
      </x:c>
      <x:c r="E6" s="37" t="str">
        <x:v>Rent</x:v>
      </x:c>
      <x:c r="F6" s="37" t="str">
        <x:v>Property Owner</x:v>
      </x:c>
      <x:c r="G6" s="37" t="str">
        <x:v>Rent expense</x:v>
      </x:c>
      <x:c r="H6" s="44" t="n">
        <x:v>180000</x:v>
      </x:c>
      <x:c r="I6" s="44" t="n">
        <x:v>0</x:v>
      </x:c>
      <x:c r="J6" s="76" t="n">
        <x:f>IF(H6="","",MAX(0,H6+I6))</x:f>
        <x:v>180000</x:v>
      </x:c>
      <x:c r="K6" s="44" t="n">
        <x:v>180000</x:v>
      </x:c>
      <x:c r="L6" s="76" t="n">
        <x:f>IF(J6="","",MAX(0,J6-K6))</x:f>
        <x:v>0</x:v>
      </x:c>
      <x:c r="M6" s="37" t="str">
        <x:v>Bank Transfer</x:v>
      </x:c>
      <x:c r="N6" s="42" t="n">
        <x:v>46029</x:v>
      </x:c>
      <x:c r="O6" s="59" t="str">
        <x:f>IF(J6="","",IF(L6&lt;=0,"Paid",IF(K6&gt;0,"Partial",IF(AND(N6&lt;&gt;"",N6&lt;TODAY()),"Overdue","Unpaid"))))</x:f>
        <x:v>Paid</x:v>
      </x:c>
      <x:c r="P6" s="37" t="str">
        <x:v>Fixed</x:v>
      </x:c>
      <x:c r="Q6" s="37" t="str">
        <x:v>Yes</x:v>
      </x:c>
      <x:c r="R6" s="42" t="n">
        <x:v>46024</x:v>
      </x:c>
      <x:c r="S6" s="37" t="str">
        <x:v>Demo expense</x:v>
      </x:c>
    </x:row>
    <x:row r="7">
      <x:c r="A7" s="37" t="str">
        <x:v>DEMO</x:v>
      </x:c>
      <x:c r="B7" s="59" t="str">
        <x:f>IF(C7="","","EXP-"&amp;TEXT(C7,"yymmdd")&amp;"-"&amp;TEXT(ROW()-5,"0000"))</x:f>
        <x:v>EXP-260103-0002</x:v>
      </x:c>
      <x:c r="C7" s="42" t="n">
        <x:v>46025</x:v>
      </x:c>
      <x:c r="D7" s="37" t="str">
        <x:v>Main Studio</x:v>
      </x:c>
      <x:c r="E7" s="37" t="str">
        <x:v>Payroll</x:v>
      </x:c>
      <x:c r="F7" s="37" t="str">
        <x:v>Team Payroll</x:v>
      </x:c>
      <x:c r="G7" s="37" t="str">
        <x:v>Payroll expense</x:v>
      </x:c>
      <x:c r="H7" s="44" t="n">
        <x:v>205000</x:v>
      </x:c>
      <x:c r="I7" s="44" t="n">
        <x:v>0</x:v>
      </x:c>
      <x:c r="J7" s="76" t="n">
        <x:f>IF(H7="","",MAX(0,H7+I7))</x:f>
        <x:v>205000</x:v>
      </x:c>
      <x:c r="K7" s="44" t="n">
        <x:v>205000</x:v>
      </x:c>
      <x:c r="L7" s="76" t="n">
        <x:f>IF(J7="","",MAX(0,J7-K7))</x:f>
        <x:v>0</x:v>
      </x:c>
      <x:c r="M7" s="37" t="str">
        <x:v>Card</x:v>
      </x:c>
      <x:c r="N7" s="42" t="n">
        <x:v>46030</x:v>
      </x:c>
      <x:c r="O7" s="59" t="str">
        <x:f>IF(J7="","",IF(L7&lt;=0,"Paid",IF(K7&gt;0,"Partial",IF(AND(N7&lt;&gt;"",N7&lt;TODAY()),"Overdue","Unpaid"))))</x:f>
        <x:v>Paid</x:v>
      </x:c>
      <x:c r="P7" s="37" t="str">
        <x:v>Fixed</x:v>
      </x:c>
      <x:c r="Q7" s="37" t="str">
        <x:v>Yes</x:v>
      </x:c>
      <x:c r="R7" s="42" t="n">
        <x:v>46025</x:v>
      </x:c>
      <x:c r="S7" s="37" t="str">
        <x:v>Demo expense</x:v>
      </x:c>
    </x:row>
    <x:row r="8">
      <x:c r="A8" s="37" t="str">
        <x:v>DEMO</x:v>
      </x:c>
      <x:c r="B8" s="59" t="str">
        <x:f>IF(C8="","","EXP-"&amp;TEXT(C8,"yymmdd")&amp;"-"&amp;TEXT(ROW()-5,"0000"))</x:f>
        <x:v>EXP-260104-0003</x:v>
      </x:c>
      <x:c r="C8" s="42" t="n">
        <x:v>46026</x:v>
      </x:c>
      <x:c r="D8" s="37" t="str">
        <x:v>Main Studio</x:v>
      </x:c>
      <x:c r="E8" s="37" t="str">
        <x:v>Utilities</x:v>
      </x:c>
      <x:c r="F8" s="37" t="str">
        <x:v>Utilities</x:v>
      </x:c>
      <x:c r="G8" s="37" t="str">
        <x:v>Utilities expense</x:v>
      </x:c>
      <x:c r="H8" s="44" t="n">
        <x:v>35000</x:v>
      </x:c>
      <x:c r="I8" s="44" t="n">
        <x:v>0</x:v>
      </x:c>
      <x:c r="J8" s="76" t="n">
        <x:f>IF(H8="","",MAX(0,H8+I8))</x:f>
        <x:v>35000</x:v>
      </x:c>
      <x:c r="K8" s="44" t="n">
        <x:v>35000</x:v>
      </x:c>
      <x:c r="L8" s="76" t="n">
        <x:f>IF(J8="","",MAX(0,J8-K8))</x:f>
        <x:v>0</x:v>
      </x:c>
      <x:c r="M8" s="37" t="str">
        <x:v>Bank Transfer</x:v>
      </x:c>
      <x:c r="N8" s="42" t="n">
        <x:v>46031</x:v>
      </x:c>
      <x:c r="O8" s="59" t="str">
        <x:f>IF(J8="","",IF(L8&lt;=0,"Paid",IF(K8&gt;0,"Partial",IF(AND(N8&lt;&gt;"",N8&lt;TODAY()),"Overdue","Unpaid"))))</x:f>
        <x:v>Paid</x:v>
      </x:c>
      <x:c r="P8" s="37" t="str">
        <x:v>Variable</x:v>
      </x:c>
      <x:c r="Q8" s="37" t="str">
        <x:v>Yes</x:v>
      </x:c>
      <x:c r="R8" s="42" t="n">
        <x:v>46026</x:v>
      </x:c>
      <x:c r="S8" s="37" t="str">
        <x:v>Demo expense</x:v>
      </x:c>
    </x:row>
    <x:row r="9">
      <x:c r="A9" s="37" t="str">
        <x:v>DEMO</x:v>
      </x:c>
      <x:c r="B9" s="59" t="str">
        <x:f>IF(C9="","","EXP-"&amp;TEXT(C9,"yymmdd")&amp;"-"&amp;TEXT(ROW()-5,"0000"))</x:f>
        <x:v>EXP-260105-0004</x:v>
      </x:c>
      <x:c r="C9" s="42" t="n">
        <x:v>46027</x:v>
      </x:c>
      <x:c r="D9" s="37" t="str">
        <x:v>Main Studio</x:v>
      </x:c>
      <x:c r="E9" s="37" t="str">
        <x:v>Marketing</x:v>
      </x:c>
      <x:c r="F9" s="37" t="str">
        <x:v>Meta / Content</x:v>
      </x:c>
      <x:c r="G9" s="37" t="str">
        <x:v>Marketing expense</x:v>
      </x:c>
      <x:c r="H9" s="44" t="n">
        <x:v>45000</x:v>
      </x:c>
      <x:c r="I9" s="44" t="n">
        <x:v>0</x:v>
      </x:c>
      <x:c r="J9" s="76" t="n">
        <x:f>IF(H9="","",MAX(0,H9+I9))</x:f>
        <x:v>45000</x:v>
      </x:c>
      <x:c r="K9" s="44" t="n">
        <x:v>45000</x:v>
      </x:c>
      <x:c r="L9" s="76" t="n">
        <x:f>IF(J9="","",MAX(0,J9-K9))</x:f>
        <x:v>0</x:v>
      </x:c>
      <x:c r="M9" s="37" t="str">
        <x:v>Card</x:v>
      </x:c>
      <x:c r="N9" s="42" t="n">
        <x:v>46032</x:v>
      </x:c>
      <x:c r="O9" s="59" t="str">
        <x:f>IF(J9="","",IF(L9&lt;=0,"Paid",IF(K9&gt;0,"Partial",IF(AND(N9&lt;&gt;"",N9&lt;TODAY()),"Overdue","Unpaid"))))</x:f>
        <x:v>Paid</x:v>
      </x:c>
      <x:c r="P9" s="37" t="str">
        <x:v>Variable</x:v>
      </x:c>
      <x:c r="Q9" s="37" t="str">
        <x:v>Yes</x:v>
      </x:c>
      <x:c r="R9" s="42" t="n">
        <x:v>46027</x:v>
      </x:c>
      <x:c r="S9" s="37" t="str">
        <x:v>Demo expense</x:v>
      </x:c>
    </x:row>
    <x:row r="10">
      <x:c r="A10" s="37" t="str">
        <x:v>DEMO</x:v>
      </x:c>
      <x:c r="B10" s="59" t="str">
        <x:f>IF(C10="","","EXP-"&amp;TEXT(C10,"yymmdd")&amp;"-"&amp;TEXT(ROW()-5,"0000"))</x:f>
        <x:v>EXP-260106-0005</x:v>
      </x:c>
      <x:c r="C10" s="42" t="n">
        <x:v>46028</x:v>
      </x:c>
      <x:c r="D10" s="37" t="str">
        <x:v>Main Studio</x:v>
      </x:c>
      <x:c r="E10" s="37" t="str">
        <x:v>Cleaning</x:v>
      </x:c>
      <x:c r="F10" s="37" t="str">
        <x:v>Cleaning Supplies</x:v>
      </x:c>
      <x:c r="G10" s="37" t="str">
        <x:v>Cleaning expense</x:v>
      </x:c>
      <x:c r="H10" s="44" t="n">
        <x:v>18000</x:v>
      </x:c>
      <x:c r="I10" s="44" t="n">
        <x:v>0</x:v>
      </x:c>
      <x:c r="J10" s="76" t="n">
        <x:f>IF(H10="","",MAX(0,H10+I10))</x:f>
        <x:v>18000</x:v>
      </x:c>
      <x:c r="K10" s="44" t="n">
        <x:v>18000</x:v>
      </x:c>
      <x:c r="L10" s="76" t="n">
        <x:f>IF(J10="","",MAX(0,J10-K10))</x:f>
        <x:v>0</x:v>
      </x:c>
      <x:c r="M10" s="37" t="str">
        <x:v>Bank Transfer</x:v>
      </x:c>
      <x:c r="N10" s="42" t="n">
        <x:v>46033</x:v>
      </x:c>
      <x:c r="O10" s="59" t="str">
        <x:f>IF(J10="","",IF(L10&lt;=0,"Paid",IF(K10&gt;0,"Partial",IF(AND(N10&lt;&gt;"",N10&lt;TODAY()),"Overdue","Unpaid"))))</x:f>
        <x:v>Paid</x:v>
      </x:c>
      <x:c r="P10" s="37" t="str">
        <x:v>Variable</x:v>
      </x:c>
      <x:c r="Q10" s="37" t="str">
        <x:v>Yes</x:v>
      </x:c>
      <x:c r="R10" s="42" t="n">
        <x:v>46028</x:v>
      </x:c>
      <x:c r="S10" s="37" t="str">
        <x:v>Demo expense</x:v>
      </x:c>
    </x:row>
    <x:row r="11">
      <x:c r="A11" s="37" t="str">
        <x:v>DEMO</x:v>
      </x:c>
      <x:c r="B11" s="59" t="str">
        <x:f>IF(C11="","","EXP-"&amp;TEXT(C11,"yymmdd")&amp;"-"&amp;TEXT(ROW()-5,"0000"))</x:f>
        <x:v>EXP-260107-0006</x:v>
      </x:c>
      <x:c r="C11" s="42" t="n">
        <x:v>46029</x:v>
      </x:c>
      <x:c r="D11" s="37" t="str">
        <x:v>Main Studio</x:v>
      </x:c>
      <x:c r="E11" s="37" t="str">
        <x:v>Software</x:v>
      </x:c>
      <x:c r="F11" s="37" t="str">
        <x:v>Booking &amp; Finance</x:v>
      </x:c>
      <x:c r="G11" s="37" t="str">
        <x:v>Software expense</x:v>
      </x:c>
      <x:c r="H11" s="44" t="n">
        <x:v>12000</x:v>
      </x:c>
      <x:c r="I11" s="44" t="n">
        <x:v>0</x:v>
      </x:c>
      <x:c r="J11" s="76" t="n">
        <x:f>IF(H11="","",MAX(0,H11+I11))</x:f>
        <x:v>12000</x:v>
      </x:c>
      <x:c r="K11" s="44" t="n">
        <x:v>12000</x:v>
      </x:c>
      <x:c r="L11" s="76" t="n">
        <x:f>IF(J11="","",MAX(0,J11-K11))</x:f>
        <x:v>0</x:v>
      </x:c>
      <x:c r="M11" s="37" t="str">
        <x:v>Card</x:v>
      </x:c>
      <x:c r="N11" s="42" t="n">
        <x:v>46034</x:v>
      </x:c>
      <x:c r="O11" s="59" t="str">
        <x:f>IF(J11="","",IF(L11&lt;=0,"Paid",IF(K11&gt;0,"Partial",IF(AND(N11&lt;&gt;"",N11&lt;TODAY()),"Overdue","Unpaid"))))</x:f>
        <x:v>Paid</x:v>
      </x:c>
      <x:c r="P11" s="37" t="str">
        <x:v>Fixed</x:v>
      </x:c>
      <x:c r="Q11" s="37" t="str">
        <x:v>Yes</x:v>
      </x:c>
      <x:c r="R11" s="42" t="n">
        <x:v>46029</x:v>
      </x:c>
      <x:c r="S11" s="37" t="str">
        <x:v>Demo expense</x:v>
      </x:c>
    </x:row>
    <x:row r="12">
      <x:c r="A12" s="37" t="str">
        <x:v>DEMO</x:v>
      </x:c>
      <x:c r="B12" s="59" t="str">
        <x:f>IF(C12="","","EXP-"&amp;TEXT(C12,"yymmdd")&amp;"-"&amp;TEXT(ROW()-5,"0000"))</x:f>
        <x:v>EXP-260201-0007</x:v>
      </x:c>
      <x:c r="C12" s="42" t="n">
        <x:v>46054</x:v>
      </x:c>
      <x:c r="D12" s="37" t="str">
        <x:v>Main Studio</x:v>
      </x:c>
      <x:c r="E12" s="37" t="str">
        <x:v>Rent</x:v>
      </x:c>
      <x:c r="F12" s="37" t="str">
        <x:v>Property Owner</x:v>
      </x:c>
      <x:c r="G12" s="37" t="str">
        <x:v>Rent expense</x:v>
      </x:c>
      <x:c r="H12" s="44" t="n">
        <x:v>180000</x:v>
      </x:c>
      <x:c r="I12" s="44" t="n">
        <x:v>0</x:v>
      </x:c>
      <x:c r="J12" s="76" t="n">
        <x:f>IF(H12="","",MAX(0,H12+I12))</x:f>
        <x:v>180000</x:v>
      </x:c>
      <x:c r="K12" s="44" t="n">
        <x:v>180000</x:v>
      </x:c>
      <x:c r="L12" s="76" t="n">
        <x:f>IF(J12="","",MAX(0,J12-K12))</x:f>
        <x:v>0</x:v>
      </x:c>
      <x:c r="M12" s="37" t="str">
        <x:v>Bank Transfer</x:v>
      </x:c>
      <x:c r="N12" s="42" t="n">
        <x:v>46059</x:v>
      </x:c>
      <x:c r="O12" s="59" t="str">
        <x:f>IF(J12="","",IF(L12&lt;=0,"Paid",IF(K12&gt;0,"Partial",IF(AND(N12&lt;&gt;"",N12&lt;TODAY()),"Overdue","Unpaid"))))</x:f>
        <x:v>Paid</x:v>
      </x:c>
      <x:c r="P12" s="37" t="str">
        <x:v>Fixed</x:v>
      </x:c>
      <x:c r="Q12" s="37" t="str">
        <x:v>Yes</x:v>
      </x:c>
      <x:c r="R12" s="42" t="n">
        <x:v>46054</x:v>
      </x:c>
      <x:c r="S12" s="37" t="str">
        <x:v>Demo expense</x:v>
      </x:c>
    </x:row>
    <x:row r="13">
      <x:c r="A13" s="37" t="str">
        <x:v>DEMO</x:v>
      </x:c>
      <x:c r="B13" s="59" t="str">
        <x:f>IF(C13="","","EXP-"&amp;TEXT(C13,"yymmdd")&amp;"-"&amp;TEXT(ROW()-5,"0000"))</x:f>
        <x:v>EXP-260202-0008</x:v>
      </x:c>
      <x:c r="C13" s="42" t="n">
        <x:v>46055</x:v>
      </x:c>
      <x:c r="D13" s="37" t="str">
        <x:v>Main Studio</x:v>
      </x:c>
      <x:c r="E13" s="37" t="str">
        <x:v>Payroll</x:v>
      </x:c>
      <x:c r="F13" s="37" t="str">
        <x:v>Team Payroll</x:v>
      </x:c>
      <x:c r="G13" s="37" t="str">
        <x:v>Payroll expense</x:v>
      </x:c>
      <x:c r="H13" s="44" t="n">
        <x:v>205000</x:v>
      </x:c>
      <x:c r="I13" s="44" t="n">
        <x:v>0</x:v>
      </x:c>
      <x:c r="J13" s="76" t="n">
        <x:f>IF(H13="","",MAX(0,H13+I13))</x:f>
        <x:v>205000</x:v>
      </x:c>
      <x:c r="K13" s="44" t="n">
        <x:v>205000</x:v>
      </x:c>
      <x:c r="L13" s="76" t="n">
        <x:f>IF(J13="","",MAX(0,J13-K13))</x:f>
        <x:v>0</x:v>
      </x:c>
      <x:c r="M13" s="37" t="str">
        <x:v>Card</x:v>
      </x:c>
      <x:c r="N13" s="42" t="n">
        <x:v>46060</x:v>
      </x:c>
      <x:c r="O13" s="59" t="str">
        <x:f>IF(J13="","",IF(L13&lt;=0,"Paid",IF(K13&gt;0,"Partial",IF(AND(N13&lt;&gt;"",N13&lt;TODAY()),"Overdue","Unpaid"))))</x:f>
        <x:v>Paid</x:v>
      </x:c>
      <x:c r="P13" s="37" t="str">
        <x:v>Fixed</x:v>
      </x:c>
      <x:c r="Q13" s="37" t="str">
        <x:v>Yes</x:v>
      </x:c>
      <x:c r="R13" s="42" t="n">
        <x:v>46055</x:v>
      </x:c>
      <x:c r="S13" s="37" t="str">
        <x:v>Demo expense</x:v>
      </x:c>
    </x:row>
    <x:row r="14">
      <x:c r="A14" s="37" t="str">
        <x:v>DEMO</x:v>
      </x:c>
      <x:c r="B14" s="59" t="str">
        <x:f>IF(C14="","","EXP-"&amp;TEXT(C14,"yymmdd")&amp;"-"&amp;TEXT(ROW()-5,"0000"))</x:f>
        <x:v>EXP-260203-0009</x:v>
      </x:c>
      <x:c r="C14" s="42" t="n">
        <x:v>46056</x:v>
      </x:c>
      <x:c r="D14" s="37" t="str">
        <x:v>Main Studio</x:v>
      </x:c>
      <x:c r="E14" s="37" t="str">
        <x:v>Utilities</x:v>
      </x:c>
      <x:c r="F14" s="37" t="str">
        <x:v>Utilities</x:v>
      </x:c>
      <x:c r="G14" s="37" t="str">
        <x:v>Utilities expense</x:v>
      </x:c>
      <x:c r="H14" s="44" t="n">
        <x:v>35000</x:v>
      </x:c>
      <x:c r="I14" s="44" t="n">
        <x:v>0</x:v>
      </x:c>
      <x:c r="J14" s="76" t="n">
        <x:f>IF(H14="","",MAX(0,H14+I14))</x:f>
        <x:v>35000</x:v>
      </x:c>
      <x:c r="K14" s="44" t="n">
        <x:v>35000</x:v>
      </x:c>
      <x:c r="L14" s="76" t="n">
        <x:f>IF(J14="","",MAX(0,J14-K14))</x:f>
        <x:v>0</x:v>
      </x:c>
      <x:c r="M14" s="37" t="str">
        <x:v>Bank Transfer</x:v>
      </x:c>
      <x:c r="N14" s="42" t="n">
        <x:v>46061</x:v>
      </x:c>
      <x:c r="O14" s="59" t="str">
        <x:f>IF(J14="","",IF(L14&lt;=0,"Paid",IF(K14&gt;0,"Partial",IF(AND(N14&lt;&gt;"",N14&lt;TODAY()),"Overdue","Unpaid"))))</x:f>
        <x:v>Paid</x:v>
      </x:c>
      <x:c r="P14" s="37" t="str">
        <x:v>Variable</x:v>
      </x:c>
      <x:c r="Q14" s="37" t="str">
        <x:v>Yes</x:v>
      </x:c>
      <x:c r="R14" s="42" t="n">
        <x:v>46056</x:v>
      </x:c>
      <x:c r="S14" s="37" t="str">
        <x:v>Demo expense</x:v>
      </x:c>
    </x:row>
    <x:row r="15">
      <x:c r="A15" s="37" t="str">
        <x:v>DEMO</x:v>
      </x:c>
      <x:c r="B15" s="59" t="str">
        <x:f>IF(C15="","","EXP-"&amp;TEXT(C15,"yymmdd")&amp;"-"&amp;TEXT(ROW()-5,"0000"))</x:f>
        <x:v>EXP-260204-0010</x:v>
      </x:c>
      <x:c r="C15" s="42" t="n">
        <x:v>46057</x:v>
      </x:c>
      <x:c r="D15" s="37" t="str">
        <x:v>Main Studio</x:v>
      </x:c>
      <x:c r="E15" s="37" t="str">
        <x:v>Marketing</x:v>
      </x:c>
      <x:c r="F15" s="37" t="str">
        <x:v>Meta / Content</x:v>
      </x:c>
      <x:c r="G15" s="37" t="str">
        <x:v>Marketing expense</x:v>
      </x:c>
      <x:c r="H15" s="44" t="n">
        <x:v>55000</x:v>
      </x:c>
      <x:c r="I15" s="44" t="n">
        <x:v>0</x:v>
      </x:c>
      <x:c r="J15" s="76" t="n">
        <x:f>IF(H15="","",MAX(0,H15+I15))</x:f>
        <x:v>55000</x:v>
      </x:c>
      <x:c r="K15" s="44" t="n">
        <x:v>55000</x:v>
      </x:c>
      <x:c r="L15" s="76" t="n">
        <x:f>IF(J15="","",MAX(0,J15-K15))</x:f>
        <x:v>0</x:v>
      </x:c>
      <x:c r="M15" s="37" t="str">
        <x:v>Card</x:v>
      </x:c>
      <x:c r="N15" s="42" t="n">
        <x:v>46062</x:v>
      </x:c>
      <x:c r="O15" s="59" t="str">
        <x:f>IF(J15="","",IF(L15&lt;=0,"Paid",IF(K15&gt;0,"Partial",IF(AND(N15&lt;&gt;"",N15&lt;TODAY()),"Overdue","Unpaid"))))</x:f>
        <x:v>Paid</x:v>
      </x:c>
      <x:c r="P15" s="37" t="str">
        <x:v>Variable</x:v>
      </x:c>
      <x:c r="Q15" s="37" t="str">
        <x:v>Yes</x:v>
      </x:c>
      <x:c r="R15" s="42" t="n">
        <x:v>46057</x:v>
      </x:c>
      <x:c r="S15" s="37" t="str">
        <x:v>Demo expense</x:v>
      </x:c>
    </x:row>
    <x:row r="16">
      <x:c r="A16" s="37" t="str">
        <x:v>DEMO</x:v>
      </x:c>
      <x:c r="B16" s="59" t="str">
        <x:f>IF(C16="","","EXP-"&amp;TEXT(C16,"yymmdd")&amp;"-"&amp;TEXT(ROW()-5,"0000"))</x:f>
        <x:v>EXP-260205-0011</x:v>
      </x:c>
      <x:c r="C16" s="42" t="n">
        <x:v>46058</x:v>
      </x:c>
      <x:c r="D16" s="37" t="str">
        <x:v>Main Studio</x:v>
      </x:c>
      <x:c r="E16" s="37" t="str">
        <x:v>Cleaning</x:v>
      </x:c>
      <x:c r="F16" s="37" t="str">
        <x:v>Cleaning Supplies</x:v>
      </x:c>
      <x:c r="G16" s="37" t="str">
        <x:v>Cleaning expense</x:v>
      </x:c>
      <x:c r="H16" s="44" t="n">
        <x:v>18000</x:v>
      </x:c>
      <x:c r="I16" s="44" t="n">
        <x:v>0</x:v>
      </x:c>
      <x:c r="J16" s="76" t="n">
        <x:f>IF(H16="","",MAX(0,H16+I16))</x:f>
        <x:v>18000</x:v>
      </x:c>
      <x:c r="K16" s="44" t="n">
        <x:v>18000</x:v>
      </x:c>
      <x:c r="L16" s="76" t="n">
        <x:f>IF(J16="","",MAX(0,J16-K16))</x:f>
        <x:v>0</x:v>
      </x:c>
      <x:c r="M16" s="37" t="str">
        <x:v>Bank Transfer</x:v>
      </x:c>
      <x:c r="N16" s="42" t="n">
        <x:v>46063</x:v>
      </x:c>
      <x:c r="O16" s="59" t="str">
        <x:f>IF(J16="","",IF(L16&lt;=0,"Paid",IF(K16&gt;0,"Partial",IF(AND(N16&lt;&gt;"",N16&lt;TODAY()),"Overdue","Unpaid"))))</x:f>
        <x:v>Paid</x:v>
      </x:c>
      <x:c r="P16" s="37" t="str">
        <x:v>Variable</x:v>
      </x:c>
      <x:c r="Q16" s="37" t="str">
        <x:v>Yes</x:v>
      </x:c>
      <x:c r="R16" s="42" t="n">
        <x:v>46058</x:v>
      </x:c>
      <x:c r="S16" s="37" t="str">
        <x:v>Demo expense</x:v>
      </x:c>
    </x:row>
    <x:row r="17">
      <x:c r="A17" s="37" t="str">
        <x:v>DEMO</x:v>
      </x:c>
      <x:c r="B17" s="59" t="str">
        <x:f>IF(C17="","","EXP-"&amp;TEXT(C17,"yymmdd")&amp;"-"&amp;TEXT(ROW()-5,"0000"))</x:f>
        <x:v>EXP-260206-0012</x:v>
      </x:c>
      <x:c r="C17" s="42" t="n">
        <x:v>46059</x:v>
      </x:c>
      <x:c r="D17" s="37" t="str">
        <x:v>Main Studio</x:v>
      </x:c>
      <x:c r="E17" s="37" t="str">
        <x:v>Software</x:v>
      </x:c>
      <x:c r="F17" s="37" t="str">
        <x:v>Booking &amp; Finance</x:v>
      </x:c>
      <x:c r="G17" s="37" t="str">
        <x:v>Software expense</x:v>
      </x:c>
      <x:c r="H17" s="44" t="n">
        <x:v>12000</x:v>
      </x:c>
      <x:c r="I17" s="44" t="n">
        <x:v>0</x:v>
      </x:c>
      <x:c r="J17" s="76" t="n">
        <x:f>IF(H17="","",MAX(0,H17+I17))</x:f>
        <x:v>12000</x:v>
      </x:c>
      <x:c r="K17" s="44" t="n">
        <x:v>12000</x:v>
      </x:c>
      <x:c r="L17" s="76" t="n">
        <x:f>IF(J17="","",MAX(0,J17-K17))</x:f>
        <x:v>0</x:v>
      </x:c>
      <x:c r="M17" s="37" t="str">
        <x:v>Card</x:v>
      </x:c>
      <x:c r="N17" s="42" t="n">
        <x:v>46064</x:v>
      </x:c>
      <x:c r="O17" s="59" t="str">
        <x:f>IF(J17="","",IF(L17&lt;=0,"Paid",IF(K17&gt;0,"Partial",IF(AND(N17&lt;&gt;"",N17&lt;TODAY()),"Overdue","Unpaid"))))</x:f>
        <x:v>Paid</x:v>
      </x:c>
      <x:c r="P17" s="37" t="str">
        <x:v>Fixed</x:v>
      </x:c>
      <x:c r="Q17" s="37" t="str">
        <x:v>Yes</x:v>
      </x:c>
      <x:c r="R17" s="42" t="n">
        <x:v>46059</x:v>
      </x:c>
      <x:c r="S17" s="37" t="str">
        <x:v>Demo expense</x:v>
      </x:c>
    </x:row>
    <x:row r="18">
      <x:c r="A18" s="37" t="str">
        <x:v>DEMO</x:v>
      </x:c>
      <x:c r="B18" s="59" t="str">
        <x:f>IF(C18="","","EXP-"&amp;TEXT(C18,"yymmdd")&amp;"-"&amp;TEXT(ROW()-5,"0000"))</x:f>
        <x:v>EXP-260303-0013</x:v>
      </x:c>
      <x:c r="C18" s="42" t="n">
        <x:v>46084</x:v>
      </x:c>
      <x:c r="D18" s="37" t="str">
        <x:v>Main Studio</x:v>
      </x:c>
      <x:c r="E18" s="37" t="str">
        <x:v>Rent</x:v>
      </x:c>
      <x:c r="F18" s="37" t="str">
        <x:v>Property Owner</x:v>
      </x:c>
      <x:c r="G18" s="37" t="str">
        <x:v>Rent expense</x:v>
      </x:c>
      <x:c r="H18" s="44" t="n">
        <x:v>180000</x:v>
      </x:c>
      <x:c r="I18" s="44" t="n">
        <x:v>0</x:v>
      </x:c>
      <x:c r="J18" s="76" t="n">
        <x:f>IF(H18="","",MAX(0,H18+I18))</x:f>
        <x:v>180000</x:v>
      </x:c>
      <x:c r="K18" s="44" t="n">
        <x:v>180000</x:v>
      </x:c>
      <x:c r="L18" s="76" t="n">
        <x:f>IF(J18="","",MAX(0,J18-K18))</x:f>
        <x:v>0</x:v>
      </x:c>
      <x:c r="M18" s="37" t="str">
        <x:v>Bank Transfer</x:v>
      </x:c>
      <x:c r="N18" s="42" t="n">
        <x:v>46089</x:v>
      </x:c>
      <x:c r="O18" s="59" t="str">
        <x:f>IF(J18="","",IF(L18&lt;=0,"Paid",IF(K18&gt;0,"Partial",IF(AND(N18&lt;&gt;"",N18&lt;TODAY()),"Overdue","Unpaid"))))</x:f>
        <x:v>Paid</x:v>
      </x:c>
      <x:c r="P18" s="37" t="str">
        <x:v>Fixed</x:v>
      </x:c>
      <x:c r="Q18" s="37" t="str">
        <x:v>Yes</x:v>
      </x:c>
      <x:c r="R18" s="42" t="n">
        <x:v>46084</x:v>
      </x:c>
      <x:c r="S18" s="37" t="str">
        <x:v>Demo expense</x:v>
      </x:c>
    </x:row>
    <x:row r="19">
      <x:c r="A19" s="37" t="str">
        <x:v>DEMO</x:v>
      </x:c>
      <x:c r="B19" s="59" t="str">
        <x:f>IF(C19="","","EXP-"&amp;TEXT(C19,"yymmdd")&amp;"-"&amp;TEXT(ROW()-5,"0000"))</x:f>
        <x:v>EXP-260304-0014</x:v>
      </x:c>
      <x:c r="C19" s="42" t="n">
        <x:v>46085</x:v>
      </x:c>
      <x:c r="D19" s="37" t="str">
        <x:v>Main Studio</x:v>
      </x:c>
      <x:c r="E19" s="37" t="str">
        <x:v>Payroll</x:v>
      </x:c>
      <x:c r="F19" s="37" t="str">
        <x:v>Team Payroll</x:v>
      </x:c>
      <x:c r="G19" s="37" t="str">
        <x:v>Payroll expense</x:v>
      </x:c>
      <x:c r="H19" s="44" t="n">
        <x:v>205000</x:v>
      </x:c>
      <x:c r="I19" s="44" t="n">
        <x:v>0</x:v>
      </x:c>
      <x:c r="J19" s="76" t="n">
        <x:f>IF(H19="","",MAX(0,H19+I19))</x:f>
        <x:v>205000</x:v>
      </x:c>
      <x:c r="K19" s="44" t="n">
        <x:v>205000</x:v>
      </x:c>
      <x:c r="L19" s="76" t="n">
        <x:f>IF(J19="","",MAX(0,J19-K19))</x:f>
        <x:v>0</x:v>
      </x:c>
      <x:c r="M19" s="37" t="str">
        <x:v>Card</x:v>
      </x:c>
      <x:c r="N19" s="42" t="n">
        <x:v>46090</x:v>
      </x:c>
      <x:c r="O19" s="59" t="str">
        <x:f>IF(J19="","",IF(L19&lt;=0,"Paid",IF(K19&gt;0,"Partial",IF(AND(N19&lt;&gt;"",N19&lt;TODAY()),"Overdue","Unpaid"))))</x:f>
        <x:v>Paid</x:v>
      </x:c>
      <x:c r="P19" s="37" t="str">
        <x:v>Fixed</x:v>
      </x:c>
      <x:c r="Q19" s="37" t="str">
        <x:v>Yes</x:v>
      </x:c>
      <x:c r="R19" s="42" t="n">
        <x:v>46085</x:v>
      </x:c>
      <x:c r="S19" s="37" t="str">
        <x:v>Demo expense</x:v>
      </x:c>
    </x:row>
    <x:row r="20">
      <x:c r="A20" s="37" t="str">
        <x:v>DEMO</x:v>
      </x:c>
      <x:c r="B20" s="59" t="str">
        <x:f>IF(C20="","","EXP-"&amp;TEXT(C20,"yymmdd")&amp;"-"&amp;TEXT(ROW()-5,"0000"))</x:f>
        <x:v>EXP-260305-0015</x:v>
      </x:c>
      <x:c r="C20" s="42" t="n">
        <x:v>46086</x:v>
      </x:c>
      <x:c r="D20" s="37" t="str">
        <x:v>Main Studio</x:v>
      </x:c>
      <x:c r="E20" s="37" t="str">
        <x:v>Utilities</x:v>
      </x:c>
      <x:c r="F20" s="37" t="str">
        <x:v>Utilities</x:v>
      </x:c>
      <x:c r="G20" s="37" t="str">
        <x:v>Utilities expense</x:v>
      </x:c>
      <x:c r="H20" s="44" t="n">
        <x:v>35000</x:v>
      </x:c>
      <x:c r="I20" s="44" t="n">
        <x:v>0</x:v>
      </x:c>
      <x:c r="J20" s="76" t="n">
        <x:f>IF(H20="","",MAX(0,H20+I20))</x:f>
        <x:v>35000</x:v>
      </x:c>
      <x:c r="K20" s="44" t="n">
        <x:v>35000</x:v>
      </x:c>
      <x:c r="L20" s="76" t="n">
        <x:f>IF(J20="","",MAX(0,J20-K20))</x:f>
        <x:v>0</x:v>
      </x:c>
      <x:c r="M20" s="37" t="str">
        <x:v>Bank Transfer</x:v>
      </x:c>
      <x:c r="N20" s="42" t="n">
        <x:v>46091</x:v>
      </x:c>
      <x:c r="O20" s="59" t="str">
        <x:f>IF(J20="","",IF(L20&lt;=0,"Paid",IF(K20&gt;0,"Partial",IF(AND(N20&lt;&gt;"",N20&lt;TODAY()),"Overdue","Unpaid"))))</x:f>
        <x:v>Paid</x:v>
      </x:c>
      <x:c r="P20" s="37" t="str">
        <x:v>Variable</x:v>
      </x:c>
      <x:c r="Q20" s="37" t="str">
        <x:v>Yes</x:v>
      </x:c>
      <x:c r="R20" s="42" t="n">
        <x:v>46086</x:v>
      </x:c>
      <x:c r="S20" s="37" t="str">
        <x:v>Demo expense</x:v>
      </x:c>
    </x:row>
    <x:row r="21">
      <x:c r="A21" s="37" t="str">
        <x:v>DEMO</x:v>
      </x:c>
      <x:c r="B21" s="59" t="str">
        <x:f>IF(C21="","","EXP-"&amp;TEXT(C21,"yymmdd")&amp;"-"&amp;TEXT(ROW()-5,"0000"))</x:f>
        <x:v>EXP-260306-0016</x:v>
      </x:c>
      <x:c r="C21" s="42" t="n">
        <x:v>46087</x:v>
      </x:c>
      <x:c r="D21" s="37" t="str">
        <x:v>Main Studio</x:v>
      </x:c>
      <x:c r="E21" s="37" t="str">
        <x:v>Marketing</x:v>
      </x:c>
      <x:c r="F21" s="37" t="str">
        <x:v>Meta / Content</x:v>
      </x:c>
      <x:c r="G21" s="37" t="str">
        <x:v>Marketing expense</x:v>
      </x:c>
      <x:c r="H21" s="44" t="n">
        <x:v>65000</x:v>
      </x:c>
      <x:c r="I21" s="44" t="n">
        <x:v>0</x:v>
      </x:c>
      <x:c r="J21" s="76" t="n">
        <x:f>IF(H21="","",MAX(0,H21+I21))</x:f>
        <x:v>65000</x:v>
      </x:c>
      <x:c r="K21" s="44" t="n">
        <x:v>65000</x:v>
      </x:c>
      <x:c r="L21" s="76" t="n">
        <x:f>IF(J21="","",MAX(0,J21-K21))</x:f>
        <x:v>0</x:v>
      </x:c>
      <x:c r="M21" s="37" t="str">
        <x:v>Card</x:v>
      </x:c>
      <x:c r="N21" s="42" t="n">
        <x:v>46092</x:v>
      </x:c>
      <x:c r="O21" s="59" t="str">
        <x:f>IF(J21="","",IF(L21&lt;=0,"Paid",IF(K21&gt;0,"Partial",IF(AND(N21&lt;&gt;"",N21&lt;TODAY()),"Overdue","Unpaid"))))</x:f>
        <x:v>Paid</x:v>
      </x:c>
      <x:c r="P21" s="37" t="str">
        <x:v>Variable</x:v>
      </x:c>
      <x:c r="Q21" s="37" t="str">
        <x:v>Yes</x:v>
      </x:c>
      <x:c r="R21" s="42" t="n">
        <x:v>46087</x:v>
      </x:c>
      <x:c r="S21" s="37" t="str">
        <x:v>Demo expense</x:v>
      </x:c>
    </x:row>
    <x:row r="22">
      <x:c r="A22" s="37" t="str">
        <x:v>DEMO</x:v>
      </x:c>
      <x:c r="B22" s="59" t="str">
        <x:f>IF(C22="","","EXP-"&amp;TEXT(C22,"yymmdd")&amp;"-"&amp;TEXT(ROW()-5,"0000"))</x:f>
        <x:v>EXP-260307-0017</x:v>
      </x:c>
      <x:c r="C22" s="42" t="n">
        <x:v>46088</x:v>
      </x:c>
      <x:c r="D22" s="37" t="str">
        <x:v>Main Studio</x:v>
      </x:c>
      <x:c r="E22" s="37" t="str">
        <x:v>Cleaning</x:v>
      </x:c>
      <x:c r="F22" s="37" t="str">
        <x:v>Cleaning Supplies</x:v>
      </x:c>
      <x:c r="G22" s="37" t="str">
        <x:v>Cleaning expense</x:v>
      </x:c>
      <x:c r="H22" s="44" t="n">
        <x:v>18000</x:v>
      </x:c>
      <x:c r="I22" s="44" t="n">
        <x:v>0</x:v>
      </x:c>
      <x:c r="J22" s="76" t="n">
        <x:f>IF(H22="","",MAX(0,H22+I22))</x:f>
        <x:v>18000</x:v>
      </x:c>
      <x:c r="K22" s="44" t="n">
        <x:v>18000</x:v>
      </x:c>
      <x:c r="L22" s="76" t="n">
        <x:f>IF(J22="","",MAX(0,J22-K22))</x:f>
        <x:v>0</x:v>
      </x:c>
      <x:c r="M22" s="37" t="str">
        <x:v>Bank Transfer</x:v>
      </x:c>
      <x:c r="N22" s="42" t="n">
        <x:v>46093</x:v>
      </x:c>
      <x:c r="O22" s="59" t="str">
        <x:f>IF(J22="","",IF(L22&lt;=0,"Paid",IF(K22&gt;0,"Partial",IF(AND(N22&lt;&gt;"",N22&lt;TODAY()),"Overdue","Unpaid"))))</x:f>
        <x:v>Paid</x:v>
      </x:c>
      <x:c r="P22" s="37" t="str">
        <x:v>Variable</x:v>
      </x:c>
      <x:c r="Q22" s="37" t="str">
        <x:v>Yes</x:v>
      </x:c>
      <x:c r="R22" s="42" t="n">
        <x:v>46088</x:v>
      </x:c>
      <x:c r="S22" s="37" t="str">
        <x:v>Demo expense</x:v>
      </x:c>
    </x:row>
    <x:row r="23">
      <x:c r="A23" s="37" t="str">
        <x:v>DEMO</x:v>
      </x:c>
      <x:c r="B23" s="59" t="str">
        <x:f>IF(C23="","","EXP-"&amp;TEXT(C23,"yymmdd")&amp;"-"&amp;TEXT(ROW()-5,"0000"))</x:f>
        <x:v>EXP-260308-0018</x:v>
      </x:c>
      <x:c r="C23" s="42" t="n">
        <x:v>46089</x:v>
      </x:c>
      <x:c r="D23" s="37" t="str">
        <x:v>Main Studio</x:v>
      </x:c>
      <x:c r="E23" s="37" t="str">
        <x:v>Software</x:v>
      </x:c>
      <x:c r="F23" s="37" t="str">
        <x:v>Booking &amp; Finance</x:v>
      </x:c>
      <x:c r="G23" s="37" t="str">
        <x:v>Software expense</x:v>
      </x:c>
      <x:c r="H23" s="44" t="n">
        <x:v>12000</x:v>
      </x:c>
      <x:c r="I23" s="44" t="n">
        <x:v>0</x:v>
      </x:c>
      <x:c r="J23" s="76" t="n">
        <x:f>IF(H23="","",MAX(0,H23+I23))</x:f>
        <x:v>12000</x:v>
      </x:c>
      <x:c r="K23" s="44" t="n">
        <x:v>12000</x:v>
      </x:c>
      <x:c r="L23" s="76" t="n">
        <x:f>IF(J23="","",MAX(0,J23-K23))</x:f>
        <x:v>0</x:v>
      </x:c>
      <x:c r="M23" s="37" t="str">
        <x:v>Card</x:v>
      </x:c>
      <x:c r="N23" s="42" t="n">
        <x:v>46094</x:v>
      </x:c>
      <x:c r="O23" s="59" t="str">
        <x:f>IF(J23="","",IF(L23&lt;=0,"Paid",IF(K23&gt;0,"Partial",IF(AND(N23&lt;&gt;"",N23&lt;TODAY()),"Overdue","Unpaid"))))</x:f>
        <x:v>Paid</x:v>
      </x:c>
      <x:c r="P23" s="37" t="str">
        <x:v>Fixed</x:v>
      </x:c>
      <x:c r="Q23" s="37" t="str">
        <x:v>Yes</x:v>
      </x:c>
      <x:c r="R23" s="42" t="n">
        <x:v>46089</x:v>
      </x:c>
      <x:c r="S23" s="37" t="str">
        <x:v>Demo expense</x:v>
      </x:c>
    </x:row>
    <x:row r="24">
      <x:c r="A24" s="37" t="str">
        <x:v>DEMO</x:v>
      </x:c>
      <x:c r="B24" s="59" t="str">
        <x:f>IF(C24="","","EXP-"&amp;TEXT(C24,"yymmdd")&amp;"-"&amp;TEXT(ROW()-5,"0000"))</x:f>
        <x:v>EXP-260402-0019</x:v>
      </x:c>
      <x:c r="C24" s="42" t="n">
        <x:v>46114</x:v>
      </x:c>
      <x:c r="D24" s="37" t="str">
        <x:v>Main Studio</x:v>
      </x:c>
      <x:c r="E24" s="37" t="str">
        <x:v>Rent</x:v>
      </x:c>
      <x:c r="F24" s="37" t="str">
        <x:v>Property Owner</x:v>
      </x:c>
      <x:c r="G24" s="37" t="str">
        <x:v>Rent expense</x:v>
      </x:c>
      <x:c r="H24" s="44" t="n">
        <x:v>180000</x:v>
      </x:c>
      <x:c r="I24" s="44" t="n">
        <x:v>0</x:v>
      </x:c>
      <x:c r="J24" s="76" t="n">
        <x:f>IF(H24="","",MAX(0,H24+I24))</x:f>
        <x:v>180000</x:v>
      </x:c>
      <x:c r="K24" s="44" t="n">
        <x:v>180000</x:v>
      </x:c>
      <x:c r="L24" s="76" t="n">
        <x:f>IF(J24="","",MAX(0,J24-K24))</x:f>
        <x:v>0</x:v>
      </x:c>
      <x:c r="M24" s="37" t="str">
        <x:v>Bank Transfer</x:v>
      </x:c>
      <x:c r="N24" s="42" t="n">
        <x:v>46119</x:v>
      </x:c>
      <x:c r="O24" s="59" t="str">
        <x:f>IF(J24="","",IF(L24&lt;=0,"Paid",IF(K24&gt;0,"Partial",IF(AND(N24&lt;&gt;"",N24&lt;TODAY()),"Overdue","Unpaid"))))</x:f>
        <x:v>Paid</x:v>
      </x:c>
      <x:c r="P24" s="37" t="str">
        <x:v>Fixed</x:v>
      </x:c>
      <x:c r="Q24" s="37" t="str">
        <x:v>Yes</x:v>
      </x:c>
      <x:c r="R24" s="42" t="n">
        <x:v>46114</x:v>
      </x:c>
      <x:c r="S24" s="37" t="str">
        <x:v>Demo expense</x:v>
      </x:c>
    </x:row>
    <x:row r="25">
      <x:c r="A25" s="37" t="str">
        <x:v>DEMO</x:v>
      </x:c>
      <x:c r="B25" s="59" t="str">
        <x:f>IF(C25="","","EXP-"&amp;TEXT(C25,"yymmdd")&amp;"-"&amp;TEXT(ROW()-5,"0000"))</x:f>
        <x:v>EXP-260403-0020</x:v>
      </x:c>
      <x:c r="C25" s="42" t="n">
        <x:v>46115</x:v>
      </x:c>
      <x:c r="D25" s="37" t="str">
        <x:v>Main Studio</x:v>
      </x:c>
      <x:c r="E25" s="37" t="str">
        <x:v>Payroll</x:v>
      </x:c>
      <x:c r="F25" s="37" t="str">
        <x:v>Team Payroll</x:v>
      </x:c>
      <x:c r="G25" s="37" t="str">
        <x:v>Payroll expense</x:v>
      </x:c>
      <x:c r="H25" s="44" t="n">
        <x:v>205000</x:v>
      </x:c>
      <x:c r="I25" s="44" t="n">
        <x:v>0</x:v>
      </x:c>
      <x:c r="J25" s="76" t="n">
        <x:f>IF(H25="","",MAX(0,H25+I25))</x:f>
        <x:v>205000</x:v>
      </x:c>
      <x:c r="K25" s="44" t="n">
        <x:v>205000</x:v>
      </x:c>
      <x:c r="L25" s="76" t="n">
        <x:f>IF(J25="","",MAX(0,J25-K25))</x:f>
        <x:v>0</x:v>
      </x:c>
      <x:c r="M25" s="37" t="str">
        <x:v>Card</x:v>
      </x:c>
      <x:c r="N25" s="42" t="n">
        <x:v>46120</x:v>
      </x:c>
      <x:c r="O25" s="59" t="str">
        <x:f>IF(J25="","",IF(L25&lt;=0,"Paid",IF(K25&gt;0,"Partial",IF(AND(N25&lt;&gt;"",N25&lt;TODAY()),"Overdue","Unpaid"))))</x:f>
        <x:v>Paid</x:v>
      </x:c>
      <x:c r="P25" s="37" t="str">
        <x:v>Fixed</x:v>
      </x:c>
      <x:c r="Q25" s="37" t="str">
        <x:v>Yes</x:v>
      </x:c>
      <x:c r="R25" s="42" t="n">
        <x:v>46115</x:v>
      </x:c>
      <x:c r="S25" s="37" t="str">
        <x:v>Demo expense</x:v>
      </x:c>
    </x:row>
    <x:row r="26">
      <x:c r="A26" s="37" t="str">
        <x:v>DEMO</x:v>
      </x:c>
      <x:c r="B26" s="59" t="str">
        <x:f>IF(C26="","","EXP-"&amp;TEXT(C26,"yymmdd")&amp;"-"&amp;TEXT(ROW()-5,"0000"))</x:f>
        <x:v>EXP-260404-0021</x:v>
      </x:c>
      <x:c r="C26" s="42" t="n">
        <x:v>46116</x:v>
      </x:c>
      <x:c r="D26" s="37" t="str">
        <x:v>Main Studio</x:v>
      </x:c>
      <x:c r="E26" s="37" t="str">
        <x:v>Utilities</x:v>
      </x:c>
      <x:c r="F26" s="37" t="str">
        <x:v>Utilities</x:v>
      </x:c>
      <x:c r="G26" s="37" t="str">
        <x:v>Utilities expense</x:v>
      </x:c>
      <x:c r="H26" s="44" t="n">
        <x:v>35000</x:v>
      </x:c>
      <x:c r="I26" s="44" t="n">
        <x:v>0</x:v>
      </x:c>
      <x:c r="J26" s="76" t="n">
        <x:f>IF(H26="","",MAX(0,H26+I26))</x:f>
        <x:v>35000</x:v>
      </x:c>
      <x:c r="K26" s="44" t="n">
        <x:v>35000</x:v>
      </x:c>
      <x:c r="L26" s="76" t="n">
        <x:f>IF(J26="","",MAX(0,J26-K26))</x:f>
        <x:v>0</x:v>
      </x:c>
      <x:c r="M26" s="37" t="str">
        <x:v>Bank Transfer</x:v>
      </x:c>
      <x:c r="N26" s="42" t="n">
        <x:v>46121</x:v>
      </x:c>
      <x:c r="O26" s="59" t="str">
        <x:f>IF(J26="","",IF(L26&lt;=0,"Paid",IF(K26&gt;0,"Partial",IF(AND(N26&lt;&gt;"",N26&lt;TODAY()),"Overdue","Unpaid"))))</x:f>
        <x:v>Paid</x:v>
      </x:c>
      <x:c r="P26" s="37" t="str">
        <x:v>Variable</x:v>
      </x:c>
      <x:c r="Q26" s="37" t="str">
        <x:v>Yes</x:v>
      </x:c>
      <x:c r="R26" s="42" t="n">
        <x:v>46116</x:v>
      </x:c>
      <x:c r="S26" s="37" t="str">
        <x:v>Demo expense</x:v>
      </x:c>
    </x:row>
    <x:row r="27">
      <x:c r="A27" s="37" t="str">
        <x:v>DEMO</x:v>
      </x:c>
      <x:c r="B27" s="59" t="str">
        <x:f>IF(C27="","","EXP-"&amp;TEXT(C27,"yymmdd")&amp;"-"&amp;TEXT(ROW()-5,"0000"))</x:f>
        <x:v>EXP-260405-0022</x:v>
      </x:c>
      <x:c r="C27" s="42" t="n">
        <x:v>46117</x:v>
      </x:c>
      <x:c r="D27" s="37" t="str">
        <x:v>Main Studio</x:v>
      </x:c>
      <x:c r="E27" s="37" t="str">
        <x:v>Marketing</x:v>
      </x:c>
      <x:c r="F27" s="37" t="str">
        <x:v>Meta / Content</x:v>
      </x:c>
      <x:c r="G27" s="37" t="str">
        <x:v>Marketing expense</x:v>
      </x:c>
      <x:c r="H27" s="44" t="n">
        <x:v>45000</x:v>
      </x:c>
      <x:c r="I27" s="44" t="n">
        <x:v>0</x:v>
      </x:c>
      <x:c r="J27" s="76" t="n">
        <x:f>IF(H27="","",MAX(0,H27+I27))</x:f>
        <x:v>45000</x:v>
      </x:c>
      <x:c r="K27" s="44" t="n">
        <x:v>45000</x:v>
      </x:c>
      <x:c r="L27" s="76" t="n">
        <x:f>IF(J27="","",MAX(0,J27-K27))</x:f>
        <x:v>0</x:v>
      </x:c>
      <x:c r="M27" s="37" t="str">
        <x:v>Card</x:v>
      </x:c>
      <x:c r="N27" s="42" t="n">
        <x:v>46122</x:v>
      </x:c>
      <x:c r="O27" s="59" t="str">
        <x:f>IF(J27="","",IF(L27&lt;=0,"Paid",IF(K27&gt;0,"Partial",IF(AND(N27&lt;&gt;"",N27&lt;TODAY()),"Overdue","Unpaid"))))</x:f>
        <x:v>Paid</x:v>
      </x:c>
      <x:c r="P27" s="37" t="str">
        <x:v>Variable</x:v>
      </x:c>
      <x:c r="Q27" s="37" t="str">
        <x:v>Yes</x:v>
      </x:c>
      <x:c r="R27" s="42" t="n">
        <x:v>46117</x:v>
      </x:c>
      <x:c r="S27" s="37" t="str">
        <x:v>Demo expense</x:v>
      </x:c>
    </x:row>
    <x:row r="28">
      <x:c r="A28" s="37" t="str">
        <x:v>DEMO</x:v>
      </x:c>
      <x:c r="B28" s="59" t="str">
        <x:f>IF(C28="","","EXP-"&amp;TEXT(C28,"yymmdd")&amp;"-"&amp;TEXT(ROW()-5,"0000"))</x:f>
        <x:v>EXP-260406-0023</x:v>
      </x:c>
      <x:c r="C28" s="42" t="n">
        <x:v>46118</x:v>
      </x:c>
      <x:c r="D28" s="37" t="str">
        <x:v>Main Studio</x:v>
      </x:c>
      <x:c r="E28" s="37" t="str">
        <x:v>Cleaning</x:v>
      </x:c>
      <x:c r="F28" s="37" t="str">
        <x:v>Cleaning Supplies</x:v>
      </x:c>
      <x:c r="G28" s="37" t="str">
        <x:v>Cleaning expense</x:v>
      </x:c>
      <x:c r="H28" s="44" t="n">
        <x:v>18000</x:v>
      </x:c>
      <x:c r="I28" s="44" t="n">
        <x:v>0</x:v>
      </x:c>
      <x:c r="J28" s="76" t="n">
        <x:f>IF(H28="","",MAX(0,H28+I28))</x:f>
        <x:v>18000</x:v>
      </x:c>
      <x:c r="K28" s="44" t="n">
        <x:v>18000</x:v>
      </x:c>
      <x:c r="L28" s="76" t="n">
        <x:f>IF(J28="","",MAX(0,J28-K28))</x:f>
        <x:v>0</x:v>
      </x:c>
      <x:c r="M28" s="37" t="str">
        <x:v>Bank Transfer</x:v>
      </x:c>
      <x:c r="N28" s="42" t="n">
        <x:v>46123</x:v>
      </x:c>
      <x:c r="O28" s="59" t="str">
        <x:f>IF(J28="","",IF(L28&lt;=0,"Paid",IF(K28&gt;0,"Partial",IF(AND(N28&lt;&gt;"",N28&lt;TODAY()),"Overdue","Unpaid"))))</x:f>
        <x:v>Paid</x:v>
      </x:c>
      <x:c r="P28" s="37" t="str">
        <x:v>Variable</x:v>
      </x:c>
      <x:c r="Q28" s="37" t="str">
        <x:v>Yes</x:v>
      </x:c>
      <x:c r="R28" s="42" t="n">
        <x:v>46118</x:v>
      </x:c>
      <x:c r="S28" s="37" t="str">
        <x:v>Demo expense</x:v>
      </x:c>
    </x:row>
    <x:row r="29">
      <x:c r="A29" s="37" t="str">
        <x:v>DEMO</x:v>
      </x:c>
      <x:c r="B29" s="59" t="str">
        <x:f>IF(C29="","","EXP-"&amp;TEXT(C29,"yymmdd")&amp;"-"&amp;TEXT(ROW()-5,"0000"))</x:f>
        <x:v>EXP-260407-0024</x:v>
      </x:c>
      <x:c r="C29" s="42" t="n">
        <x:v>46119</x:v>
      </x:c>
      <x:c r="D29" s="37" t="str">
        <x:v>Main Studio</x:v>
      </x:c>
      <x:c r="E29" s="37" t="str">
        <x:v>Software</x:v>
      </x:c>
      <x:c r="F29" s="37" t="str">
        <x:v>Booking &amp; Finance</x:v>
      </x:c>
      <x:c r="G29" s="37" t="str">
        <x:v>Software expense</x:v>
      </x:c>
      <x:c r="H29" s="44" t="n">
        <x:v>12000</x:v>
      </x:c>
      <x:c r="I29" s="44" t="n">
        <x:v>0</x:v>
      </x:c>
      <x:c r="J29" s="76" t="n">
        <x:f>IF(H29="","",MAX(0,H29+I29))</x:f>
        <x:v>12000</x:v>
      </x:c>
      <x:c r="K29" s="44" t="n">
        <x:v>12000</x:v>
      </x:c>
      <x:c r="L29" s="76" t="n">
        <x:f>IF(J29="","",MAX(0,J29-K29))</x:f>
        <x:v>0</x:v>
      </x:c>
      <x:c r="M29" s="37" t="str">
        <x:v>Card</x:v>
      </x:c>
      <x:c r="N29" s="42" t="n">
        <x:v>46124</x:v>
      </x:c>
      <x:c r="O29" s="59" t="str">
        <x:f>IF(J29="","",IF(L29&lt;=0,"Paid",IF(K29&gt;0,"Partial",IF(AND(N29&lt;&gt;"",N29&lt;TODAY()),"Overdue","Unpaid"))))</x:f>
        <x:v>Paid</x:v>
      </x:c>
      <x:c r="P29" s="37" t="str">
        <x:v>Fixed</x:v>
      </x:c>
      <x:c r="Q29" s="37" t="str">
        <x:v>Yes</x:v>
      </x:c>
      <x:c r="R29" s="42" t="n">
        <x:v>46119</x:v>
      </x:c>
      <x:c r="S29" s="37" t="str">
        <x:v>Demo expense</x:v>
      </x:c>
    </x:row>
    <x:row r="30">
      <x:c r="A30" s="37" t="str">
        <x:v>DEMO</x:v>
      </x:c>
      <x:c r="B30" s="59" t="str">
        <x:f>IF(C30="","","EXP-"&amp;TEXT(C30,"yymmdd")&amp;"-"&amp;TEXT(ROW()-5,"0000"))</x:f>
        <x:v>EXP-260502-0025</x:v>
      </x:c>
      <x:c r="C30" s="42" t="n">
        <x:v>46144</x:v>
      </x:c>
      <x:c r="D30" s="37" t="str">
        <x:v>Main Studio</x:v>
      </x:c>
      <x:c r="E30" s="37" t="str">
        <x:v>Rent</x:v>
      </x:c>
      <x:c r="F30" s="37" t="str">
        <x:v>Property Owner</x:v>
      </x:c>
      <x:c r="G30" s="37" t="str">
        <x:v>Rent expense</x:v>
      </x:c>
      <x:c r="H30" s="44" t="n">
        <x:v>180000</x:v>
      </x:c>
      <x:c r="I30" s="44" t="n">
        <x:v>0</x:v>
      </x:c>
      <x:c r="J30" s="76" t="n">
        <x:f>IF(H30="","",MAX(0,H30+I30))</x:f>
        <x:v>180000</x:v>
      </x:c>
      <x:c r="K30" s="44" t="n">
        <x:v>180000</x:v>
      </x:c>
      <x:c r="L30" s="76" t="n">
        <x:f>IF(J30="","",MAX(0,J30-K30))</x:f>
        <x:v>0</x:v>
      </x:c>
      <x:c r="M30" s="37" t="str">
        <x:v>Bank Transfer</x:v>
      </x:c>
      <x:c r="N30" s="42" t="n">
        <x:v>46149</x:v>
      </x:c>
      <x:c r="O30" s="59" t="str">
        <x:f>IF(J30="","",IF(L30&lt;=0,"Paid",IF(K30&gt;0,"Partial",IF(AND(N30&lt;&gt;"",N30&lt;TODAY()),"Overdue","Unpaid"))))</x:f>
        <x:v>Paid</x:v>
      </x:c>
      <x:c r="P30" s="37" t="str">
        <x:v>Fixed</x:v>
      </x:c>
      <x:c r="Q30" s="37" t="str">
        <x:v>Yes</x:v>
      </x:c>
      <x:c r="R30" s="42" t="n">
        <x:v>46144</x:v>
      </x:c>
      <x:c r="S30" s="37" t="str">
        <x:v>Demo expense</x:v>
      </x:c>
    </x:row>
    <x:row r="31">
      <x:c r="A31" s="37" t="str">
        <x:v>DEMO</x:v>
      </x:c>
      <x:c r="B31" s="59" t="str">
        <x:f>IF(C31="","","EXP-"&amp;TEXT(C31,"yymmdd")&amp;"-"&amp;TEXT(ROW()-5,"0000"))</x:f>
        <x:v>EXP-260503-0026</x:v>
      </x:c>
      <x:c r="C31" s="42" t="n">
        <x:v>46145</x:v>
      </x:c>
      <x:c r="D31" s="37" t="str">
        <x:v>Main Studio</x:v>
      </x:c>
      <x:c r="E31" s="37" t="str">
        <x:v>Payroll</x:v>
      </x:c>
      <x:c r="F31" s="37" t="str">
        <x:v>Team Payroll</x:v>
      </x:c>
      <x:c r="G31" s="37" t="str">
        <x:v>Payroll expense</x:v>
      </x:c>
      <x:c r="H31" s="44" t="n">
        <x:v>205000</x:v>
      </x:c>
      <x:c r="I31" s="44" t="n">
        <x:v>0</x:v>
      </x:c>
      <x:c r="J31" s="76" t="n">
        <x:f>IF(H31="","",MAX(0,H31+I31))</x:f>
        <x:v>205000</x:v>
      </x:c>
      <x:c r="K31" s="44" t="n">
        <x:v>205000</x:v>
      </x:c>
      <x:c r="L31" s="76" t="n">
        <x:f>IF(J31="","",MAX(0,J31-K31))</x:f>
        <x:v>0</x:v>
      </x:c>
      <x:c r="M31" s="37" t="str">
        <x:v>Card</x:v>
      </x:c>
      <x:c r="N31" s="42" t="n">
        <x:v>46150</x:v>
      </x:c>
      <x:c r="O31" s="59" t="str">
        <x:f>IF(J31="","",IF(L31&lt;=0,"Paid",IF(K31&gt;0,"Partial",IF(AND(N31&lt;&gt;"",N31&lt;TODAY()),"Overdue","Unpaid"))))</x:f>
        <x:v>Paid</x:v>
      </x:c>
      <x:c r="P31" s="37" t="str">
        <x:v>Fixed</x:v>
      </x:c>
      <x:c r="Q31" s="37" t="str">
        <x:v>Yes</x:v>
      </x:c>
      <x:c r="R31" s="42" t="n">
        <x:v>46145</x:v>
      </x:c>
      <x:c r="S31" s="37" t="str">
        <x:v>Demo expense</x:v>
      </x:c>
    </x:row>
    <x:row r="32">
      <x:c r="A32" s="37" t="str">
        <x:v>DEMO</x:v>
      </x:c>
      <x:c r="B32" s="59" t="str">
        <x:f>IF(C32="","","EXP-"&amp;TEXT(C32,"yymmdd")&amp;"-"&amp;TEXT(ROW()-5,"0000"))</x:f>
        <x:v>EXP-260504-0027</x:v>
      </x:c>
      <x:c r="C32" s="42" t="n">
        <x:v>46146</x:v>
      </x:c>
      <x:c r="D32" s="37" t="str">
        <x:v>Main Studio</x:v>
      </x:c>
      <x:c r="E32" s="37" t="str">
        <x:v>Utilities</x:v>
      </x:c>
      <x:c r="F32" s="37" t="str">
        <x:v>Utilities</x:v>
      </x:c>
      <x:c r="G32" s="37" t="str">
        <x:v>Utilities expense</x:v>
      </x:c>
      <x:c r="H32" s="44" t="n">
        <x:v>35000</x:v>
      </x:c>
      <x:c r="I32" s="44" t="n">
        <x:v>0</x:v>
      </x:c>
      <x:c r="J32" s="76" t="n">
        <x:f>IF(H32="","",MAX(0,H32+I32))</x:f>
        <x:v>35000</x:v>
      </x:c>
      <x:c r="K32" s="44" t="n">
        <x:v>35000</x:v>
      </x:c>
      <x:c r="L32" s="76" t="n">
        <x:f>IF(J32="","",MAX(0,J32-K32))</x:f>
        <x:v>0</x:v>
      </x:c>
      <x:c r="M32" s="37" t="str">
        <x:v>Bank Transfer</x:v>
      </x:c>
      <x:c r="N32" s="42" t="n">
        <x:v>46151</x:v>
      </x:c>
      <x:c r="O32" s="59" t="str">
        <x:f>IF(J32="","",IF(L32&lt;=0,"Paid",IF(K32&gt;0,"Partial",IF(AND(N32&lt;&gt;"",N32&lt;TODAY()),"Overdue","Unpaid"))))</x:f>
        <x:v>Paid</x:v>
      </x:c>
      <x:c r="P32" s="37" t="str">
        <x:v>Variable</x:v>
      </x:c>
      <x:c r="Q32" s="37" t="str">
        <x:v>Yes</x:v>
      </x:c>
      <x:c r="R32" s="42" t="n">
        <x:v>46146</x:v>
      </x:c>
      <x:c r="S32" s="37" t="str">
        <x:v>Demo expense</x:v>
      </x:c>
    </x:row>
    <x:row r="33">
      <x:c r="A33" s="37" t="str">
        <x:v>DEMO</x:v>
      </x:c>
      <x:c r="B33" s="59" t="str">
        <x:f>IF(C33="","","EXP-"&amp;TEXT(C33,"yymmdd")&amp;"-"&amp;TEXT(ROW()-5,"0000"))</x:f>
        <x:v>EXP-260505-0028</x:v>
      </x:c>
      <x:c r="C33" s="42" t="n">
        <x:v>46147</x:v>
      </x:c>
      <x:c r="D33" s="37" t="str">
        <x:v>Main Studio</x:v>
      </x:c>
      <x:c r="E33" s="37" t="str">
        <x:v>Marketing</x:v>
      </x:c>
      <x:c r="F33" s="37" t="str">
        <x:v>Meta / Content</x:v>
      </x:c>
      <x:c r="G33" s="37" t="str">
        <x:v>Marketing expense</x:v>
      </x:c>
      <x:c r="H33" s="44" t="n">
        <x:v>55000</x:v>
      </x:c>
      <x:c r="I33" s="44" t="n">
        <x:v>0</x:v>
      </x:c>
      <x:c r="J33" s="76" t="n">
        <x:f>IF(H33="","",MAX(0,H33+I33))</x:f>
        <x:v>55000</x:v>
      </x:c>
      <x:c r="K33" s="44" t="n">
        <x:v>55000</x:v>
      </x:c>
      <x:c r="L33" s="76" t="n">
        <x:f>IF(J33="","",MAX(0,J33-K33))</x:f>
        <x:v>0</x:v>
      </x:c>
      <x:c r="M33" s="37" t="str">
        <x:v>Card</x:v>
      </x:c>
      <x:c r="N33" s="42" t="n">
        <x:v>46152</x:v>
      </x:c>
      <x:c r="O33" s="59" t="str">
        <x:f>IF(J33="","",IF(L33&lt;=0,"Paid",IF(K33&gt;0,"Partial",IF(AND(N33&lt;&gt;"",N33&lt;TODAY()),"Overdue","Unpaid"))))</x:f>
        <x:v>Paid</x:v>
      </x:c>
      <x:c r="P33" s="37" t="str">
        <x:v>Variable</x:v>
      </x:c>
      <x:c r="Q33" s="37" t="str">
        <x:v>Yes</x:v>
      </x:c>
      <x:c r="R33" s="42" t="n">
        <x:v>46147</x:v>
      </x:c>
      <x:c r="S33" s="37" t="str">
        <x:v>Demo expense</x:v>
      </x:c>
    </x:row>
    <x:row r="34">
      <x:c r="A34" s="37" t="str">
        <x:v>DEMO</x:v>
      </x:c>
      <x:c r="B34" s="59" t="str">
        <x:f>IF(C34="","","EXP-"&amp;TEXT(C34,"yymmdd")&amp;"-"&amp;TEXT(ROW()-5,"0000"))</x:f>
        <x:v>EXP-260506-0029</x:v>
      </x:c>
      <x:c r="C34" s="42" t="n">
        <x:v>46148</x:v>
      </x:c>
      <x:c r="D34" s="37" t="str">
        <x:v>Main Studio</x:v>
      </x:c>
      <x:c r="E34" s="37" t="str">
        <x:v>Cleaning</x:v>
      </x:c>
      <x:c r="F34" s="37" t="str">
        <x:v>Cleaning Supplies</x:v>
      </x:c>
      <x:c r="G34" s="37" t="str">
        <x:v>Cleaning expense</x:v>
      </x:c>
      <x:c r="H34" s="44" t="n">
        <x:v>18000</x:v>
      </x:c>
      <x:c r="I34" s="44" t="n">
        <x:v>0</x:v>
      </x:c>
      <x:c r="J34" s="76" t="n">
        <x:f>IF(H34="","",MAX(0,H34+I34))</x:f>
        <x:v>18000</x:v>
      </x:c>
      <x:c r="K34" s="44" t="n">
        <x:v>18000</x:v>
      </x:c>
      <x:c r="L34" s="76" t="n">
        <x:f>IF(J34="","",MAX(0,J34-K34))</x:f>
        <x:v>0</x:v>
      </x:c>
      <x:c r="M34" s="37" t="str">
        <x:v>Bank Transfer</x:v>
      </x:c>
      <x:c r="N34" s="42" t="n">
        <x:v>46153</x:v>
      </x:c>
      <x:c r="O34" s="59" t="str">
        <x:f>IF(J34="","",IF(L34&lt;=0,"Paid",IF(K34&gt;0,"Partial",IF(AND(N34&lt;&gt;"",N34&lt;TODAY()),"Overdue","Unpaid"))))</x:f>
        <x:v>Paid</x:v>
      </x:c>
      <x:c r="P34" s="37" t="str">
        <x:v>Variable</x:v>
      </x:c>
      <x:c r="Q34" s="37" t="str">
        <x:v>Yes</x:v>
      </x:c>
      <x:c r="R34" s="42" t="n">
        <x:v>46148</x:v>
      </x:c>
      <x:c r="S34" s="37" t="str">
        <x:v>Demo expense</x:v>
      </x:c>
    </x:row>
    <x:row r="35">
      <x:c r="A35" s="37" t="str">
        <x:v>DEMO</x:v>
      </x:c>
      <x:c r="B35" s="59" t="str">
        <x:f>IF(C35="","","EXP-"&amp;TEXT(C35,"yymmdd")&amp;"-"&amp;TEXT(ROW()-5,"0000"))</x:f>
        <x:v>EXP-260507-0030</x:v>
      </x:c>
      <x:c r="C35" s="42" t="n">
        <x:v>46149</x:v>
      </x:c>
      <x:c r="D35" s="37" t="str">
        <x:v>Main Studio</x:v>
      </x:c>
      <x:c r="E35" s="37" t="str">
        <x:v>Software</x:v>
      </x:c>
      <x:c r="F35" s="37" t="str">
        <x:v>Booking &amp; Finance</x:v>
      </x:c>
      <x:c r="G35" s="37" t="str">
        <x:v>Software expense</x:v>
      </x:c>
      <x:c r="H35" s="44" t="n">
        <x:v>12000</x:v>
      </x:c>
      <x:c r="I35" s="44" t="n">
        <x:v>0</x:v>
      </x:c>
      <x:c r="J35" s="76" t="n">
        <x:f>IF(H35="","",MAX(0,H35+I35))</x:f>
        <x:v>12000</x:v>
      </x:c>
      <x:c r="K35" s="44" t="n">
        <x:v>12000</x:v>
      </x:c>
      <x:c r="L35" s="76" t="n">
        <x:f>IF(J35="","",MAX(0,J35-K35))</x:f>
        <x:v>0</x:v>
      </x:c>
      <x:c r="M35" s="37" t="str">
        <x:v>Card</x:v>
      </x:c>
      <x:c r="N35" s="42" t="n">
        <x:v>46154</x:v>
      </x:c>
      <x:c r="O35" s="59" t="str">
        <x:f>IF(J35="","",IF(L35&lt;=0,"Paid",IF(K35&gt;0,"Partial",IF(AND(N35&lt;&gt;"",N35&lt;TODAY()),"Overdue","Unpaid"))))</x:f>
        <x:v>Paid</x:v>
      </x:c>
      <x:c r="P35" s="37" t="str">
        <x:v>Fixed</x:v>
      </x:c>
      <x:c r="Q35" s="37" t="str">
        <x:v>Yes</x:v>
      </x:c>
      <x:c r="R35" s="42" t="n">
        <x:v>46149</x:v>
      </x:c>
      <x:c r="S35" s="37" t="str">
        <x:v>Demo expense</x:v>
      </x:c>
    </x:row>
    <x:row r="36">
      <x:c r="A36" s="37" t="str">
        <x:v>DEMO</x:v>
      </x:c>
      <x:c r="B36" s="59" t="str">
        <x:f>IF(C36="","","EXP-"&amp;TEXT(C36,"yymmdd")&amp;"-"&amp;TEXT(ROW()-5,"0000"))</x:f>
        <x:v>EXP-260601-0031</x:v>
      </x:c>
      <x:c r="C36" s="42" t="n">
        <x:v>46174</x:v>
      </x:c>
      <x:c r="D36" s="37" t="str">
        <x:v>Main Studio</x:v>
      </x:c>
      <x:c r="E36" s="37" t="str">
        <x:v>Rent</x:v>
      </x:c>
      <x:c r="F36" s="37" t="str">
        <x:v>Property Owner</x:v>
      </x:c>
      <x:c r="G36" s="37" t="str">
        <x:v>Rent expense</x:v>
      </x:c>
      <x:c r="H36" s="44" t="n">
        <x:v>180000</x:v>
      </x:c>
      <x:c r="I36" s="44" t="n">
        <x:v>0</x:v>
      </x:c>
      <x:c r="J36" s="76" t="n">
        <x:f>IF(H36="","",MAX(0,H36+I36))</x:f>
        <x:v>180000</x:v>
      </x:c>
      <x:c r="K36" s="44" t="n">
        <x:v>180000</x:v>
      </x:c>
      <x:c r="L36" s="76" t="n">
        <x:f>IF(J36="","",MAX(0,J36-K36))</x:f>
        <x:v>0</x:v>
      </x:c>
      <x:c r="M36" s="37" t="str">
        <x:v>Bank Transfer</x:v>
      </x:c>
      <x:c r="N36" s="42" t="n">
        <x:v>46179</x:v>
      </x:c>
      <x:c r="O36" s="59" t="str">
        <x:f>IF(J36="","",IF(L36&lt;=0,"Paid",IF(K36&gt;0,"Partial",IF(AND(N36&lt;&gt;"",N36&lt;TODAY()),"Overdue","Unpaid"))))</x:f>
        <x:v>Paid</x:v>
      </x:c>
      <x:c r="P36" s="37" t="str">
        <x:v>Fixed</x:v>
      </x:c>
      <x:c r="Q36" s="37" t="str">
        <x:v>Yes</x:v>
      </x:c>
      <x:c r="R36" s="42" t="n">
        <x:v>46174</x:v>
      </x:c>
      <x:c r="S36" s="37" t="str">
        <x:v>Demo expense</x:v>
      </x:c>
    </x:row>
    <x:row r="37">
      <x:c r="A37" s="37" t="str">
        <x:v>DEMO</x:v>
      </x:c>
      <x:c r="B37" s="59" t="str">
        <x:f>IF(C37="","","EXP-"&amp;TEXT(C37,"yymmdd")&amp;"-"&amp;TEXT(ROW()-5,"0000"))</x:f>
        <x:v>EXP-260602-0032</x:v>
      </x:c>
      <x:c r="C37" s="42" t="n">
        <x:v>46175</x:v>
      </x:c>
      <x:c r="D37" s="37" t="str">
        <x:v>Main Studio</x:v>
      </x:c>
      <x:c r="E37" s="37" t="str">
        <x:v>Payroll</x:v>
      </x:c>
      <x:c r="F37" s="37" t="str">
        <x:v>Team Payroll</x:v>
      </x:c>
      <x:c r="G37" s="37" t="str">
        <x:v>Payroll expense</x:v>
      </x:c>
      <x:c r="H37" s="44" t="n">
        <x:v>205000</x:v>
      </x:c>
      <x:c r="I37" s="44" t="n">
        <x:v>0</x:v>
      </x:c>
      <x:c r="J37" s="76" t="n">
        <x:f>IF(H37="","",MAX(0,H37+I37))</x:f>
        <x:v>205000</x:v>
      </x:c>
      <x:c r="K37" s="44" t="n">
        <x:v>205000</x:v>
      </x:c>
      <x:c r="L37" s="76" t="n">
        <x:f>IF(J37="","",MAX(0,J37-K37))</x:f>
        <x:v>0</x:v>
      </x:c>
      <x:c r="M37" s="37" t="str">
        <x:v>Card</x:v>
      </x:c>
      <x:c r="N37" s="42" t="n">
        <x:v>46180</x:v>
      </x:c>
      <x:c r="O37" s="59" t="str">
        <x:f>IF(J37="","",IF(L37&lt;=0,"Paid",IF(K37&gt;0,"Partial",IF(AND(N37&lt;&gt;"",N37&lt;TODAY()),"Overdue","Unpaid"))))</x:f>
        <x:v>Paid</x:v>
      </x:c>
      <x:c r="P37" s="37" t="str">
        <x:v>Fixed</x:v>
      </x:c>
      <x:c r="Q37" s="37" t="str">
        <x:v>Yes</x:v>
      </x:c>
      <x:c r="R37" s="42" t="n">
        <x:v>46175</x:v>
      </x:c>
      <x:c r="S37" s="37" t="str">
        <x:v>Demo expense</x:v>
      </x:c>
    </x:row>
    <x:row r="38">
      <x:c r="A38" s="37" t="str">
        <x:v>DEMO</x:v>
      </x:c>
      <x:c r="B38" s="59" t="str">
        <x:f>IF(C38="","","EXP-"&amp;TEXT(C38,"yymmdd")&amp;"-"&amp;TEXT(ROW()-5,"0000"))</x:f>
        <x:v>EXP-260603-0033</x:v>
      </x:c>
      <x:c r="C38" s="42" t="n">
        <x:v>46176</x:v>
      </x:c>
      <x:c r="D38" s="37" t="str">
        <x:v>Main Studio</x:v>
      </x:c>
      <x:c r="E38" s="37" t="str">
        <x:v>Utilities</x:v>
      </x:c>
      <x:c r="F38" s="37" t="str">
        <x:v>Utilities</x:v>
      </x:c>
      <x:c r="G38" s="37" t="str">
        <x:v>Utilities expense</x:v>
      </x:c>
      <x:c r="H38" s="44" t="n">
        <x:v>35000</x:v>
      </x:c>
      <x:c r="I38" s="44" t="n">
        <x:v>0</x:v>
      </x:c>
      <x:c r="J38" s="76" t="n">
        <x:f>IF(H38="","",MAX(0,H38+I38))</x:f>
        <x:v>35000</x:v>
      </x:c>
      <x:c r="K38" s="44" t="n">
        <x:v>35000</x:v>
      </x:c>
      <x:c r="L38" s="76" t="n">
        <x:f>IF(J38="","",MAX(0,J38-K38))</x:f>
        <x:v>0</x:v>
      </x:c>
      <x:c r="M38" s="37" t="str">
        <x:v>Bank Transfer</x:v>
      </x:c>
      <x:c r="N38" s="42" t="n">
        <x:v>46181</x:v>
      </x:c>
      <x:c r="O38" s="59" t="str">
        <x:f>IF(J38="","",IF(L38&lt;=0,"Paid",IF(K38&gt;0,"Partial",IF(AND(N38&lt;&gt;"",N38&lt;TODAY()),"Overdue","Unpaid"))))</x:f>
        <x:v>Paid</x:v>
      </x:c>
      <x:c r="P38" s="37" t="str">
        <x:v>Variable</x:v>
      </x:c>
      <x:c r="Q38" s="37" t="str">
        <x:v>Yes</x:v>
      </x:c>
      <x:c r="R38" s="42" t="n">
        <x:v>46176</x:v>
      </x:c>
      <x:c r="S38" s="37" t="str">
        <x:v>Demo expense</x:v>
      </x:c>
    </x:row>
    <x:row r="39">
      <x:c r="A39" s="37" t="str">
        <x:v>DEMO</x:v>
      </x:c>
      <x:c r="B39" s="59" t="str">
        <x:f>IF(C39="","","EXP-"&amp;TEXT(C39,"yymmdd")&amp;"-"&amp;TEXT(ROW()-5,"0000"))</x:f>
        <x:v>EXP-260604-0034</x:v>
      </x:c>
      <x:c r="C39" s="42" t="n">
        <x:v>46177</x:v>
      </x:c>
      <x:c r="D39" s="37" t="str">
        <x:v>Main Studio</x:v>
      </x:c>
      <x:c r="E39" s="37" t="str">
        <x:v>Marketing</x:v>
      </x:c>
      <x:c r="F39" s="37" t="str">
        <x:v>Meta / Content</x:v>
      </x:c>
      <x:c r="G39" s="37" t="str">
        <x:v>Marketing expense</x:v>
      </x:c>
      <x:c r="H39" s="44" t="n">
        <x:v>65000</x:v>
      </x:c>
      <x:c r="I39" s="44" t="n">
        <x:v>0</x:v>
      </x:c>
      <x:c r="J39" s="76" t="n">
        <x:f>IF(H39="","",MAX(0,H39+I39))</x:f>
        <x:v>65000</x:v>
      </x:c>
      <x:c r="K39" s="44" t="n">
        <x:v>65000</x:v>
      </x:c>
      <x:c r="L39" s="76" t="n">
        <x:f>IF(J39="","",MAX(0,J39-K39))</x:f>
        <x:v>0</x:v>
      </x:c>
      <x:c r="M39" s="37" t="str">
        <x:v>Card</x:v>
      </x:c>
      <x:c r="N39" s="42" t="n">
        <x:v>46182</x:v>
      </x:c>
      <x:c r="O39" s="59" t="str">
        <x:f>IF(J39="","",IF(L39&lt;=0,"Paid",IF(K39&gt;0,"Partial",IF(AND(N39&lt;&gt;"",N39&lt;TODAY()),"Overdue","Unpaid"))))</x:f>
        <x:v>Paid</x:v>
      </x:c>
      <x:c r="P39" s="37" t="str">
        <x:v>Variable</x:v>
      </x:c>
      <x:c r="Q39" s="37" t="str">
        <x:v>Yes</x:v>
      </x:c>
      <x:c r="R39" s="42" t="n">
        <x:v>46177</x:v>
      </x:c>
      <x:c r="S39" s="37" t="str">
        <x:v>Demo expense</x:v>
      </x:c>
    </x:row>
    <x:row r="40">
      <x:c r="A40" s="37" t="str">
        <x:v>DEMO</x:v>
      </x:c>
      <x:c r="B40" s="59" t="str">
        <x:f>IF(C40="","","EXP-"&amp;TEXT(C40,"yymmdd")&amp;"-"&amp;TEXT(ROW()-5,"0000"))</x:f>
        <x:v>EXP-260605-0035</x:v>
      </x:c>
      <x:c r="C40" s="42" t="n">
        <x:v>46178</x:v>
      </x:c>
      <x:c r="D40" s="37" t="str">
        <x:v>Main Studio</x:v>
      </x:c>
      <x:c r="E40" s="37" t="str">
        <x:v>Cleaning</x:v>
      </x:c>
      <x:c r="F40" s="37" t="str">
        <x:v>Cleaning Supplies</x:v>
      </x:c>
      <x:c r="G40" s="37" t="str">
        <x:v>Cleaning expense</x:v>
      </x:c>
      <x:c r="H40" s="44" t="n">
        <x:v>18000</x:v>
      </x:c>
      <x:c r="I40" s="44" t="n">
        <x:v>0</x:v>
      </x:c>
      <x:c r="J40" s="76" t="n">
        <x:f>IF(H40="","",MAX(0,H40+I40))</x:f>
        <x:v>18000</x:v>
      </x:c>
      <x:c r="K40" s="44" t="n">
        <x:v>18000</x:v>
      </x:c>
      <x:c r="L40" s="76" t="n">
        <x:f>IF(J40="","",MAX(0,J40-K40))</x:f>
        <x:v>0</x:v>
      </x:c>
      <x:c r="M40" s="37" t="str">
        <x:v>Bank Transfer</x:v>
      </x:c>
      <x:c r="N40" s="42" t="n">
        <x:v>46183</x:v>
      </x:c>
      <x:c r="O40" s="59" t="str">
        <x:f>IF(J40="","",IF(L40&lt;=0,"Paid",IF(K40&gt;0,"Partial",IF(AND(N40&lt;&gt;"",N40&lt;TODAY()),"Overdue","Unpaid"))))</x:f>
        <x:v>Paid</x:v>
      </x:c>
      <x:c r="P40" s="37" t="str">
        <x:v>Variable</x:v>
      </x:c>
      <x:c r="Q40" s="37" t="str">
        <x:v>Yes</x:v>
      </x:c>
      <x:c r="R40" s="42" t="n">
        <x:v>46178</x:v>
      </x:c>
      <x:c r="S40" s="37" t="str">
        <x:v>Demo expense</x:v>
      </x:c>
    </x:row>
    <x:row r="41">
      <x:c r="A41" s="37" t="str">
        <x:v>DEMO</x:v>
      </x:c>
      <x:c r="B41" s="59" t="str">
        <x:f>IF(C41="","","EXP-"&amp;TEXT(C41,"yymmdd")&amp;"-"&amp;TEXT(ROW()-5,"0000"))</x:f>
        <x:v>EXP-260606-0036</x:v>
      </x:c>
      <x:c r="C41" s="42" t="n">
        <x:v>46179</x:v>
      </x:c>
      <x:c r="D41" s="37" t="str">
        <x:v>Main Studio</x:v>
      </x:c>
      <x:c r="E41" s="37" t="str">
        <x:v>Software</x:v>
      </x:c>
      <x:c r="F41" s="37" t="str">
        <x:v>Booking &amp; Finance</x:v>
      </x:c>
      <x:c r="G41" s="37" t="str">
        <x:v>Software expense</x:v>
      </x:c>
      <x:c r="H41" s="44" t="n">
        <x:v>12000</x:v>
      </x:c>
      <x:c r="I41" s="44" t="n">
        <x:v>0</x:v>
      </x:c>
      <x:c r="J41" s="76" t="n">
        <x:f>IF(H41="","",MAX(0,H41+I41))</x:f>
        <x:v>12000</x:v>
      </x:c>
      <x:c r="K41" s="44" t="n">
        <x:v>12000</x:v>
      </x:c>
      <x:c r="L41" s="76" t="n">
        <x:f>IF(J41="","",MAX(0,J41-K41))</x:f>
        <x:v>0</x:v>
      </x:c>
      <x:c r="M41" s="37" t="str">
        <x:v>Card</x:v>
      </x:c>
      <x:c r="N41" s="42" t="n">
        <x:v>46184</x:v>
      </x:c>
      <x:c r="O41" s="59" t="str">
        <x:f>IF(J41="","",IF(L41&lt;=0,"Paid",IF(K41&gt;0,"Partial",IF(AND(N41&lt;&gt;"",N41&lt;TODAY()),"Overdue","Unpaid"))))</x:f>
        <x:v>Paid</x:v>
      </x:c>
      <x:c r="P41" s="37" t="str">
        <x:v>Fixed</x:v>
      </x:c>
      <x:c r="Q41" s="37" t="str">
        <x:v>Yes</x:v>
      </x:c>
      <x:c r="R41" s="42" t="n">
        <x:v>46179</x:v>
      </x:c>
      <x:c r="S41" s="37" t="str">
        <x:v>Demo expense</x:v>
      </x:c>
    </x:row>
    <x:row r="42">
      <x:c r="A42" s="37" t="str">
        <x:v>DEMO</x:v>
      </x:c>
      <x:c r="B42" s="59" t="str">
        <x:f>IF(C42="","","EXP-"&amp;TEXT(C42,"yymmdd")&amp;"-"&amp;TEXT(ROW()-5,"0000"))</x:f>
        <x:v>EXP-260701-0037</x:v>
      </x:c>
      <x:c r="C42" s="42" t="n">
        <x:v>46204</x:v>
      </x:c>
      <x:c r="D42" s="37" t="str">
        <x:v>Main Studio</x:v>
      </x:c>
      <x:c r="E42" s="37" t="str">
        <x:v>Rent</x:v>
      </x:c>
      <x:c r="F42" s="37" t="str">
        <x:v>Property Owner</x:v>
      </x:c>
      <x:c r="G42" s="37" t="str">
        <x:v>Rent expense</x:v>
      </x:c>
      <x:c r="H42" s="44" t="n">
        <x:v>180000</x:v>
      </x:c>
      <x:c r="I42" s="44" t="n">
        <x:v>0</x:v>
      </x:c>
      <x:c r="J42" s="76" t="n">
        <x:f>IF(H42="","",MAX(0,H42+I42))</x:f>
        <x:v>180000</x:v>
      </x:c>
      <x:c r="K42" s="44" t="n">
        <x:v>180000</x:v>
      </x:c>
      <x:c r="L42" s="76" t="n">
        <x:f>IF(J42="","",MAX(0,J42-K42))</x:f>
        <x:v>0</x:v>
      </x:c>
      <x:c r="M42" s="37" t="str">
        <x:v>Bank Transfer</x:v>
      </x:c>
      <x:c r="N42" s="42" t="n">
        <x:v>46209</x:v>
      </x:c>
      <x:c r="O42" s="59" t="str">
        <x:f>IF(J42="","",IF(L42&lt;=0,"Paid",IF(K42&gt;0,"Partial",IF(AND(N42&lt;&gt;"",N42&lt;TODAY()),"Overdue","Unpaid"))))</x:f>
        <x:v>Paid</x:v>
      </x:c>
      <x:c r="P42" s="37" t="str">
        <x:v>Fixed</x:v>
      </x:c>
      <x:c r="Q42" s="37" t="str">
        <x:v>Yes</x:v>
      </x:c>
      <x:c r="R42" s="42" t="n">
        <x:v>46204</x:v>
      </x:c>
      <x:c r="S42" s="37" t="str">
        <x:v>Demo expense</x:v>
      </x:c>
    </x:row>
    <x:row r="43">
      <x:c r="A43" s="37" t="str">
        <x:v>DEMO</x:v>
      </x:c>
      <x:c r="B43" s="59" t="str">
        <x:f>IF(C43="","","EXP-"&amp;TEXT(C43,"yymmdd")&amp;"-"&amp;TEXT(ROW()-5,"0000"))</x:f>
        <x:v>EXP-260702-0038</x:v>
      </x:c>
      <x:c r="C43" s="42" t="n">
        <x:v>46205</x:v>
      </x:c>
      <x:c r="D43" s="37" t="str">
        <x:v>Main Studio</x:v>
      </x:c>
      <x:c r="E43" s="37" t="str">
        <x:v>Payroll</x:v>
      </x:c>
      <x:c r="F43" s="37" t="str">
        <x:v>Team Payroll</x:v>
      </x:c>
      <x:c r="G43" s="37" t="str">
        <x:v>Payroll expense</x:v>
      </x:c>
      <x:c r="H43" s="44" t="n">
        <x:v>205000</x:v>
      </x:c>
      <x:c r="I43" s="44" t="n">
        <x:v>0</x:v>
      </x:c>
      <x:c r="J43" s="76" t="n">
        <x:f>IF(H43="","",MAX(0,H43+I43))</x:f>
        <x:v>205000</x:v>
      </x:c>
      <x:c r="K43" s="44" t="n">
        <x:v>205000</x:v>
      </x:c>
      <x:c r="L43" s="76" t="n">
        <x:f>IF(J43="","",MAX(0,J43-K43))</x:f>
        <x:v>0</x:v>
      </x:c>
      <x:c r="M43" s="37" t="str">
        <x:v>Card</x:v>
      </x:c>
      <x:c r="N43" s="42" t="n">
        <x:v>46210</x:v>
      </x:c>
      <x:c r="O43" s="59" t="str">
        <x:f>IF(J43="","",IF(L43&lt;=0,"Paid",IF(K43&gt;0,"Partial",IF(AND(N43&lt;&gt;"",N43&lt;TODAY()),"Overdue","Unpaid"))))</x:f>
        <x:v>Paid</x:v>
      </x:c>
      <x:c r="P43" s="37" t="str">
        <x:v>Fixed</x:v>
      </x:c>
      <x:c r="Q43" s="37" t="str">
        <x:v>Yes</x:v>
      </x:c>
      <x:c r="R43" s="42" t="n">
        <x:v>46205</x:v>
      </x:c>
      <x:c r="S43" s="37" t="str">
        <x:v>Demo expense</x:v>
      </x:c>
    </x:row>
    <x:row r="44">
      <x:c r="A44" s="37" t="str">
        <x:v>DEMO</x:v>
      </x:c>
      <x:c r="B44" s="59" t="str">
        <x:f>IF(C44="","","EXP-"&amp;TEXT(C44,"yymmdd")&amp;"-"&amp;TEXT(ROW()-5,"0000"))</x:f>
        <x:v>EXP-260703-0039</x:v>
      </x:c>
      <x:c r="C44" s="42" t="n">
        <x:v>46206</x:v>
      </x:c>
      <x:c r="D44" s="37" t="str">
        <x:v>Main Studio</x:v>
      </x:c>
      <x:c r="E44" s="37" t="str">
        <x:v>Utilities</x:v>
      </x:c>
      <x:c r="F44" s="37" t="str">
        <x:v>Utilities</x:v>
      </x:c>
      <x:c r="G44" s="37" t="str">
        <x:v>Utilities expense</x:v>
      </x:c>
      <x:c r="H44" s="44" t="n">
        <x:v>35000</x:v>
      </x:c>
      <x:c r="I44" s="44" t="n">
        <x:v>0</x:v>
      </x:c>
      <x:c r="J44" s="76" t="n">
        <x:f>IF(H44="","",MAX(0,H44+I44))</x:f>
        <x:v>35000</x:v>
      </x:c>
      <x:c r="K44" s="44" t="n">
        <x:v>35000</x:v>
      </x:c>
      <x:c r="L44" s="76" t="n">
        <x:f>IF(J44="","",MAX(0,J44-K44))</x:f>
        <x:v>0</x:v>
      </x:c>
      <x:c r="M44" s="37" t="str">
        <x:v>Bank Transfer</x:v>
      </x:c>
      <x:c r="N44" s="42" t="n">
        <x:v>46211</x:v>
      </x:c>
      <x:c r="O44" s="59" t="str">
        <x:f>IF(J44="","",IF(L44&lt;=0,"Paid",IF(K44&gt;0,"Partial",IF(AND(N44&lt;&gt;"",N44&lt;TODAY()),"Overdue","Unpaid"))))</x:f>
        <x:v>Paid</x:v>
      </x:c>
      <x:c r="P44" s="37" t="str">
        <x:v>Variable</x:v>
      </x:c>
      <x:c r="Q44" s="37" t="str">
        <x:v>Yes</x:v>
      </x:c>
      <x:c r="R44" s="42" t="n">
        <x:v>46206</x:v>
      </x:c>
      <x:c r="S44" s="37" t="str">
        <x:v>Demo expense</x:v>
      </x:c>
    </x:row>
    <x:row r="45">
      <x:c r="A45" s="37" t="str">
        <x:v>DEMO</x:v>
      </x:c>
      <x:c r="B45" s="59" t="str">
        <x:f>IF(C45="","","EXP-"&amp;TEXT(C45,"yymmdd")&amp;"-"&amp;TEXT(ROW()-5,"0000"))</x:f>
        <x:v>EXP-260704-0040</x:v>
      </x:c>
      <x:c r="C45" s="42" t="n">
        <x:v>46207</x:v>
      </x:c>
      <x:c r="D45" s="37" t="str">
        <x:v>Main Studio</x:v>
      </x:c>
      <x:c r="E45" s="37" t="str">
        <x:v>Marketing</x:v>
      </x:c>
      <x:c r="F45" s="37" t="str">
        <x:v>Meta / Content</x:v>
      </x:c>
      <x:c r="G45" s="37" t="str">
        <x:v>Marketing expense</x:v>
      </x:c>
      <x:c r="H45" s="44" t="n">
        <x:v>45000</x:v>
      </x:c>
      <x:c r="I45" s="44" t="n">
        <x:v>0</x:v>
      </x:c>
      <x:c r="J45" s="76" t="n">
        <x:f>IF(H45="","",MAX(0,H45+I45))</x:f>
        <x:v>45000</x:v>
      </x:c>
      <x:c r="K45" s="44" t="n">
        <x:v>45000</x:v>
      </x:c>
      <x:c r="L45" s="76" t="n">
        <x:f>IF(J45="","",MAX(0,J45-K45))</x:f>
        <x:v>0</x:v>
      </x:c>
      <x:c r="M45" s="37" t="str">
        <x:v>Card</x:v>
      </x:c>
      <x:c r="N45" s="42" t="n">
        <x:v>46212</x:v>
      </x:c>
      <x:c r="O45" s="59" t="str">
        <x:f>IF(J45="","",IF(L45&lt;=0,"Paid",IF(K45&gt;0,"Partial",IF(AND(N45&lt;&gt;"",N45&lt;TODAY()),"Overdue","Unpaid"))))</x:f>
        <x:v>Paid</x:v>
      </x:c>
      <x:c r="P45" s="37" t="str">
        <x:v>Variable</x:v>
      </x:c>
      <x:c r="Q45" s="37" t="str">
        <x:v>Yes</x:v>
      </x:c>
      <x:c r="R45" s="42" t="n">
        <x:v>46207</x:v>
      </x:c>
      <x:c r="S45" s="37" t="str">
        <x:v>Demo expense</x:v>
      </x:c>
    </x:row>
    <x:row r="46">
      <x:c r="A46" s="37" t="str">
        <x:v>DEMO</x:v>
      </x:c>
      <x:c r="B46" s="59" t="str">
        <x:f>IF(C46="","","EXP-"&amp;TEXT(C46,"yymmdd")&amp;"-"&amp;TEXT(ROW()-5,"0000"))</x:f>
        <x:v>EXP-260705-0041</x:v>
      </x:c>
      <x:c r="C46" s="42" t="n">
        <x:v>46208</x:v>
      </x:c>
      <x:c r="D46" s="37" t="str">
        <x:v>Main Studio</x:v>
      </x:c>
      <x:c r="E46" s="37" t="str">
        <x:v>Cleaning</x:v>
      </x:c>
      <x:c r="F46" s="37" t="str">
        <x:v>Cleaning Supplies</x:v>
      </x:c>
      <x:c r="G46" s="37" t="str">
        <x:v>Cleaning expense</x:v>
      </x:c>
      <x:c r="H46" s="44" t="n">
        <x:v>18000</x:v>
      </x:c>
      <x:c r="I46" s="44" t="n">
        <x:v>0</x:v>
      </x:c>
      <x:c r="J46" s="76" t="n">
        <x:f>IF(H46="","",MAX(0,H46+I46))</x:f>
        <x:v>18000</x:v>
      </x:c>
      <x:c r="K46" s="44" t="n">
        <x:v>18000</x:v>
      </x:c>
      <x:c r="L46" s="76" t="n">
        <x:f>IF(J46="","",MAX(0,J46-K46))</x:f>
        <x:v>0</x:v>
      </x:c>
      <x:c r="M46" s="37" t="str">
        <x:v>Bank Transfer</x:v>
      </x:c>
      <x:c r="N46" s="42" t="n">
        <x:v>46213</x:v>
      </x:c>
      <x:c r="O46" s="59" t="str">
        <x:f>IF(J46="","",IF(L46&lt;=0,"Paid",IF(K46&gt;0,"Partial",IF(AND(N46&lt;&gt;"",N46&lt;TODAY()),"Overdue","Unpaid"))))</x:f>
        <x:v>Paid</x:v>
      </x:c>
      <x:c r="P46" s="37" t="str">
        <x:v>Variable</x:v>
      </x:c>
      <x:c r="Q46" s="37" t="str">
        <x:v>Yes</x:v>
      </x:c>
      <x:c r="R46" s="42" t="n">
        <x:v>46208</x:v>
      </x:c>
      <x:c r="S46" s="37" t="str">
        <x:v>Demo expense</x:v>
      </x:c>
    </x:row>
    <x:row r="47">
      <x:c r="A47" s="37" t="str">
        <x:v>DEMO</x:v>
      </x:c>
      <x:c r="B47" s="59" t="str">
        <x:f>IF(C47="","","EXP-"&amp;TEXT(C47,"yymmdd")&amp;"-"&amp;TEXT(ROW()-5,"0000"))</x:f>
        <x:v>EXP-260706-0042</x:v>
      </x:c>
      <x:c r="C47" s="42" t="n">
        <x:v>46209</x:v>
      </x:c>
      <x:c r="D47" s="37" t="str">
        <x:v>Main Studio</x:v>
      </x:c>
      <x:c r="E47" s="37" t="str">
        <x:v>Software</x:v>
      </x:c>
      <x:c r="F47" s="37" t="str">
        <x:v>Booking &amp; Finance</x:v>
      </x:c>
      <x:c r="G47" s="37" t="str">
        <x:v>Software expense</x:v>
      </x:c>
      <x:c r="H47" s="44" t="n">
        <x:v>12000</x:v>
      </x:c>
      <x:c r="I47" s="44" t="n">
        <x:v>0</x:v>
      </x:c>
      <x:c r="J47" s="76" t="n">
        <x:f>IF(H47="","",MAX(0,H47+I47))</x:f>
        <x:v>12000</x:v>
      </x:c>
      <x:c r="K47" s="44" t="n">
        <x:v>12000</x:v>
      </x:c>
      <x:c r="L47" s="76" t="n">
        <x:f>IF(J47="","",MAX(0,J47-K47))</x:f>
        <x:v>0</x:v>
      </x:c>
      <x:c r="M47" s="37" t="str">
        <x:v>Card</x:v>
      </x:c>
      <x:c r="N47" s="42" t="n">
        <x:v>46214</x:v>
      </x:c>
      <x:c r="O47" s="59" t="str">
        <x:f>IF(J47="","",IF(L47&lt;=0,"Paid",IF(K47&gt;0,"Partial",IF(AND(N47&lt;&gt;"",N47&lt;TODAY()),"Overdue","Unpaid"))))</x:f>
        <x:v>Paid</x:v>
      </x:c>
      <x:c r="P47" s="37" t="str">
        <x:v>Fixed</x:v>
      </x:c>
      <x:c r="Q47" s="37" t="str">
        <x:v>Yes</x:v>
      </x:c>
      <x:c r="R47" s="42" t="n">
        <x:v>46209</x:v>
      </x:c>
      <x:c r="S47" s="37" t="str">
        <x:v>Demo expense</x:v>
      </x:c>
    </x:row>
    <x:row r="48">
      <x:c r="A48" s="37"/>
      <x:c r="B48" s="59" t="str">
        <x:f>IF(C48="","","EXP-"&amp;TEXT(C48,"yymmdd")&amp;"-"&amp;TEXT(ROW()-5,"0000"))</x:f>
      </x:c>
      <x:c r="C48" s="42"/>
      <x:c r="D48" s="37"/>
      <x:c r="E48" s="37"/>
      <x:c r="F48" s="37"/>
      <x:c r="G48" s="37"/>
      <x:c r="H48" s="44"/>
      <x:c r="I48" s="44"/>
      <x:c r="J48" s="76" t="str">
        <x:f>IF(H48="","",MAX(0,H48+I48))</x:f>
      </x:c>
      <x:c r="K48" s="44"/>
      <x:c r="L48" s="76" t="str">
        <x:f>IF(J48="","",MAX(0,J48-K48))</x:f>
      </x:c>
      <x:c r="M48" s="37"/>
      <x:c r="N48" s="42"/>
      <x:c r="O48" s="59" t="str">
        <x:f>IF(J48="","",IF(L48&lt;=0,"Paid",IF(K48&gt;0,"Partial",IF(AND(N48&lt;&gt;"",N48&lt;TODAY()),"Overdue","Unpaid"))))</x:f>
      </x:c>
      <x:c r="P48" s="37"/>
      <x:c r="Q48" s="37"/>
      <x:c r="R48" s="42"/>
      <x:c r="S48" s="37"/>
    </x:row>
    <x:row r="49">
      <x:c r="A49" s="37"/>
      <x:c r="B49" s="59" t="str">
        <x:f>IF(C49="","","EXP-"&amp;TEXT(C49,"yymmdd")&amp;"-"&amp;TEXT(ROW()-5,"0000"))</x:f>
      </x:c>
      <x:c r="C49" s="42"/>
      <x:c r="D49" s="37"/>
      <x:c r="E49" s="37"/>
      <x:c r="F49" s="37"/>
      <x:c r="G49" s="37"/>
      <x:c r="H49" s="44"/>
      <x:c r="I49" s="44"/>
      <x:c r="J49" s="76" t="str">
        <x:f>IF(H49="","",MAX(0,H49+I49))</x:f>
      </x:c>
      <x:c r="K49" s="44"/>
      <x:c r="L49" s="76" t="str">
        <x:f>IF(J49="","",MAX(0,J49-K49))</x:f>
      </x:c>
      <x:c r="M49" s="37"/>
      <x:c r="N49" s="42"/>
      <x:c r="O49" s="59" t="str">
        <x:f>IF(J49="","",IF(L49&lt;=0,"Paid",IF(K49&gt;0,"Partial",IF(AND(N49&lt;&gt;"",N49&lt;TODAY()),"Overdue","Unpaid"))))</x:f>
      </x:c>
      <x:c r="P49" s="37"/>
      <x:c r="Q49" s="37"/>
      <x:c r="R49" s="42"/>
      <x:c r="S49" s="37"/>
    </x:row>
    <x:row r="50">
      <x:c r="A50" s="37"/>
      <x:c r="B50" s="59" t="str">
        <x:f>IF(C50="","","EXP-"&amp;TEXT(C50,"yymmdd")&amp;"-"&amp;TEXT(ROW()-5,"0000"))</x:f>
      </x:c>
      <x:c r="C50" s="42"/>
      <x:c r="D50" s="37"/>
      <x:c r="E50" s="37"/>
      <x:c r="F50" s="37"/>
      <x:c r="G50" s="37"/>
      <x:c r="H50" s="44"/>
      <x:c r="I50" s="44"/>
      <x:c r="J50" s="76" t="str">
        <x:f>IF(H50="","",MAX(0,H50+I50))</x:f>
      </x:c>
      <x:c r="K50" s="44"/>
      <x:c r="L50" s="76" t="str">
        <x:f>IF(J50="","",MAX(0,J50-K50))</x:f>
      </x:c>
      <x:c r="M50" s="37"/>
      <x:c r="N50" s="42"/>
      <x:c r="O50" s="59" t="str">
        <x:f>IF(J50="","",IF(L50&lt;=0,"Paid",IF(K50&gt;0,"Partial",IF(AND(N50&lt;&gt;"",N50&lt;TODAY()),"Overdue","Unpaid"))))</x:f>
      </x:c>
      <x:c r="P50" s="37"/>
      <x:c r="Q50" s="37"/>
      <x:c r="R50" s="42"/>
      <x:c r="S50" s="37"/>
    </x:row>
    <x:row r="51">
      <x:c r="A51" s="37"/>
      <x:c r="B51" s="59" t="str">
        <x:f>IF(C51="","","EXP-"&amp;TEXT(C51,"yymmdd")&amp;"-"&amp;TEXT(ROW()-5,"0000"))</x:f>
      </x:c>
      <x:c r="C51" s="42"/>
      <x:c r="D51" s="37"/>
      <x:c r="E51" s="37"/>
      <x:c r="F51" s="37"/>
      <x:c r="G51" s="37"/>
      <x:c r="H51" s="44"/>
      <x:c r="I51" s="44"/>
      <x:c r="J51" s="76" t="str">
        <x:f>IF(H51="","",MAX(0,H51+I51))</x:f>
      </x:c>
      <x:c r="K51" s="44"/>
      <x:c r="L51" s="76" t="str">
        <x:f>IF(J51="","",MAX(0,J51-K51))</x:f>
      </x:c>
      <x:c r="M51" s="37"/>
      <x:c r="N51" s="42"/>
      <x:c r="O51" s="59" t="str">
        <x:f>IF(J51="","",IF(L51&lt;=0,"Paid",IF(K51&gt;0,"Partial",IF(AND(N51&lt;&gt;"",N51&lt;TODAY()),"Overdue","Unpaid"))))</x:f>
      </x:c>
      <x:c r="P51" s="37"/>
      <x:c r="Q51" s="37"/>
      <x:c r="R51" s="42"/>
      <x:c r="S51" s="37"/>
    </x:row>
    <x:row r="52">
      <x:c r="A52" s="37"/>
      <x:c r="B52" s="59" t="str">
        <x:f>IF(C52="","","EXP-"&amp;TEXT(C52,"yymmdd")&amp;"-"&amp;TEXT(ROW()-5,"0000"))</x:f>
      </x:c>
      <x:c r="C52" s="42"/>
      <x:c r="D52" s="37"/>
      <x:c r="E52" s="37"/>
      <x:c r="F52" s="37"/>
      <x:c r="G52" s="37"/>
      <x:c r="H52" s="44"/>
      <x:c r="I52" s="44"/>
      <x:c r="J52" s="76" t="str">
        <x:f>IF(H52="","",MAX(0,H52+I52))</x:f>
      </x:c>
      <x:c r="K52" s="44"/>
      <x:c r="L52" s="76" t="str">
        <x:f>IF(J52="","",MAX(0,J52-K52))</x:f>
      </x:c>
      <x:c r="M52" s="37"/>
      <x:c r="N52" s="42"/>
      <x:c r="O52" s="59" t="str">
        <x:f>IF(J52="","",IF(L52&lt;=0,"Paid",IF(K52&gt;0,"Partial",IF(AND(N52&lt;&gt;"",N52&lt;TODAY()),"Overdue","Unpaid"))))</x:f>
      </x:c>
      <x:c r="P52" s="37"/>
      <x:c r="Q52" s="37"/>
      <x:c r="R52" s="42"/>
      <x:c r="S52" s="37"/>
    </x:row>
    <x:row r="53">
      <x:c r="A53" s="37"/>
      <x:c r="B53" s="59" t="str">
        <x:f>IF(C53="","","EXP-"&amp;TEXT(C53,"yymmdd")&amp;"-"&amp;TEXT(ROW()-5,"0000"))</x:f>
      </x:c>
      <x:c r="C53" s="42"/>
      <x:c r="D53" s="37"/>
      <x:c r="E53" s="37"/>
      <x:c r="F53" s="37"/>
      <x:c r="G53" s="37"/>
      <x:c r="H53" s="44"/>
      <x:c r="I53" s="44"/>
      <x:c r="J53" s="76" t="str">
        <x:f>IF(H53="","",MAX(0,H53+I53))</x:f>
      </x:c>
      <x:c r="K53" s="44"/>
      <x:c r="L53" s="76" t="str">
        <x:f>IF(J53="","",MAX(0,J53-K53))</x:f>
      </x:c>
      <x:c r="M53" s="37"/>
      <x:c r="N53" s="42"/>
      <x:c r="O53" s="59" t="str">
        <x:f>IF(J53="","",IF(L53&lt;=0,"Paid",IF(K53&gt;0,"Partial",IF(AND(N53&lt;&gt;"",N53&lt;TODAY()),"Overdue","Unpaid"))))</x:f>
      </x:c>
      <x:c r="P53" s="37"/>
      <x:c r="Q53" s="37"/>
      <x:c r="R53" s="42"/>
      <x:c r="S53" s="37"/>
    </x:row>
    <x:row r="54">
      <x:c r="A54" s="37"/>
      <x:c r="B54" s="59" t="str">
        <x:f>IF(C54="","","EXP-"&amp;TEXT(C54,"yymmdd")&amp;"-"&amp;TEXT(ROW()-5,"0000"))</x:f>
      </x:c>
      <x:c r="C54" s="42"/>
      <x:c r="D54" s="37"/>
      <x:c r="E54" s="37"/>
      <x:c r="F54" s="37"/>
      <x:c r="G54" s="37"/>
      <x:c r="H54" s="44"/>
      <x:c r="I54" s="44"/>
      <x:c r="J54" s="76" t="str">
        <x:f>IF(H54="","",MAX(0,H54+I54))</x:f>
      </x:c>
      <x:c r="K54" s="44"/>
      <x:c r="L54" s="76" t="str">
        <x:f>IF(J54="","",MAX(0,J54-K54))</x:f>
      </x:c>
      <x:c r="M54" s="37"/>
      <x:c r="N54" s="42"/>
      <x:c r="O54" s="59" t="str">
        <x:f>IF(J54="","",IF(L54&lt;=0,"Paid",IF(K54&gt;0,"Partial",IF(AND(N54&lt;&gt;"",N54&lt;TODAY()),"Overdue","Unpaid"))))</x:f>
      </x:c>
      <x:c r="P54" s="37"/>
      <x:c r="Q54" s="37"/>
      <x:c r="R54" s="42"/>
      <x:c r="S54" s="37"/>
    </x:row>
    <x:row r="55">
      <x:c r="A55" s="37"/>
      <x:c r="B55" s="59" t="str">
        <x:f>IF(C55="","","EXP-"&amp;TEXT(C55,"yymmdd")&amp;"-"&amp;TEXT(ROW()-5,"0000"))</x:f>
      </x:c>
      <x:c r="C55" s="42"/>
      <x:c r="D55" s="37"/>
      <x:c r="E55" s="37"/>
      <x:c r="F55" s="37"/>
      <x:c r="G55" s="37"/>
      <x:c r="H55" s="44"/>
      <x:c r="I55" s="44"/>
      <x:c r="J55" s="76" t="str">
        <x:f>IF(H55="","",MAX(0,H55+I55))</x:f>
      </x:c>
      <x:c r="K55" s="44"/>
      <x:c r="L55" s="76" t="str">
        <x:f>IF(J55="","",MAX(0,J55-K55))</x:f>
      </x:c>
      <x:c r="M55" s="37"/>
      <x:c r="N55" s="42"/>
      <x:c r="O55" s="59" t="str">
        <x:f>IF(J55="","",IF(L55&lt;=0,"Paid",IF(K55&gt;0,"Partial",IF(AND(N55&lt;&gt;"",N55&lt;TODAY()),"Overdue","Unpaid"))))</x:f>
      </x:c>
      <x:c r="P55" s="37"/>
      <x:c r="Q55" s="37"/>
      <x:c r="R55" s="42"/>
      <x:c r="S55" s="37"/>
    </x:row>
    <x:row r="56">
      <x:c r="A56" s="37"/>
      <x:c r="B56" s="59" t="str">
        <x:f>IF(C56="","","EXP-"&amp;TEXT(C56,"yymmdd")&amp;"-"&amp;TEXT(ROW()-5,"0000"))</x:f>
      </x:c>
      <x:c r="C56" s="42"/>
      <x:c r="D56" s="37"/>
      <x:c r="E56" s="37"/>
      <x:c r="F56" s="37"/>
      <x:c r="G56" s="37"/>
      <x:c r="H56" s="44"/>
      <x:c r="I56" s="44"/>
      <x:c r="J56" s="76" t="str">
        <x:f>IF(H56="","",MAX(0,H56+I56))</x:f>
      </x:c>
      <x:c r="K56" s="44"/>
      <x:c r="L56" s="76" t="str">
        <x:f>IF(J56="","",MAX(0,J56-K56))</x:f>
      </x:c>
      <x:c r="M56" s="37"/>
      <x:c r="N56" s="42"/>
      <x:c r="O56" s="59" t="str">
        <x:f>IF(J56="","",IF(L56&lt;=0,"Paid",IF(K56&gt;0,"Partial",IF(AND(N56&lt;&gt;"",N56&lt;TODAY()),"Overdue","Unpaid"))))</x:f>
      </x:c>
      <x:c r="P56" s="37"/>
      <x:c r="Q56" s="37"/>
      <x:c r="R56" s="42"/>
      <x:c r="S56" s="37"/>
    </x:row>
    <x:row r="57">
      <x:c r="A57" s="37"/>
      <x:c r="B57" s="59" t="str">
        <x:f>IF(C57="","","EXP-"&amp;TEXT(C57,"yymmdd")&amp;"-"&amp;TEXT(ROW()-5,"0000"))</x:f>
      </x:c>
      <x:c r="C57" s="42"/>
      <x:c r="D57" s="37"/>
      <x:c r="E57" s="37"/>
      <x:c r="F57" s="37"/>
      <x:c r="G57" s="37"/>
      <x:c r="H57" s="44"/>
      <x:c r="I57" s="44"/>
      <x:c r="J57" s="76" t="str">
        <x:f>IF(H57="","",MAX(0,H57+I57))</x:f>
      </x:c>
      <x:c r="K57" s="44"/>
      <x:c r="L57" s="76" t="str">
        <x:f>IF(J57="","",MAX(0,J57-K57))</x:f>
      </x:c>
      <x:c r="M57" s="37"/>
      <x:c r="N57" s="42"/>
      <x:c r="O57" s="59" t="str">
        <x:f>IF(J57="","",IF(L57&lt;=0,"Paid",IF(K57&gt;0,"Partial",IF(AND(N57&lt;&gt;"",N57&lt;TODAY()),"Overdue","Unpaid"))))</x:f>
      </x:c>
      <x:c r="P57" s="37"/>
      <x:c r="Q57" s="37"/>
      <x:c r="R57" s="42"/>
      <x:c r="S57" s="37"/>
    </x:row>
    <x:row r="58">
      <x:c r="A58" s="37"/>
      <x:c r="B58" s="59" t="str">
        <x:f>IF(C58="","","EXP-"&amp;TEXT(C58,"yymmdd")&amp;"-"&amp;TEXT(ROW()-5,"0000"))</x:f>
      </x:c>
      <x:c r="C58" s="42"/>
      <x:c r="D58" s="37"/>
      <x:c r="E58" s="37"/>
      <x:c r="F58" s="37"/>
      <x:c r="G58" s="37"/>
      <x:c r="H58" s="44"/>
      <x:c r="I58" s="44"/>
      <x:c r="J58" s="76" t="str">
        <x:f>IF(H58="","",MAX(0,H58+I58))</x:f>
      </x:c>
      <x:c r="K58" s="44"/>
      <x:c r="L58" s="76" t="str">
        <x:f>IF(J58="","",MAX(0,J58-K58))</x:f>
      </x:c>
      <x:c r="M58" s="37"/>
      <x:c r="N58" s="42"/>
      <x:c r="O58" s="59" t="str">
        <x:f>IF(J58="","",IF(L58&lt;=0,"Paid",IF(K58&gt;0,"Partial",IF(AND(N58&lt;&gt;"",N58&lt;TODAY()),"Overdue","Unpaid"))))</x:f>
      </x:c>
      <x:c r="P58" s="37"/>
      <x:c r="Q58" s="37"/>
      <x:c r="R58" s="42"/>
      <x:c r="S58" s="37"/>
    </x:row>
    <x:row r="59">
      <x:c r="A59" s="37"/>
      <x:c r="B59" s="59" t="str">
        <x:f>IF(C59="","","EXP-"&amp;TEXT(C59,"yymmdd")&amp;"-"&amp;TEXT(ROW()-5,"0000"))</x:f>
      </x:c>
      <x:c r="C59" s="42"/>
      <x:c r="D59" s="37"/>
      <x:c r="E59" s="37"/>
      <x:c r="F59" s="37"/>
      <x:c r="G59" s="37"/>
      <x:c r="H59" s="44"/>
      <x:c r="I59" s="44"/>
      <x:c r="J59" s="76" t="str">
        <x:f>IF(H59="","",MAX(0,H59+I59))</x:f>
      </x:c>
      <x:c r="K59" s="44"/>
      <x:c r="L59" s="76" t="str">
        <x:f>IF(J59="","",MAX(0,J59-K59))</x:f>
      </x:c>
      <x:c r="M59" s="37"/>
      <x:c r="N59" s="42"/>
      <x:c r="O59" s="59" t="str">
        <x:f>IF(J59="","",IF(L59&lt;=0,"Paid",IF(K59&gt;0,"Partial",IF(AND(N59&lt;&gt;"",N59&lt;TODAY()),"Overdue","Unpaid"))))</x:f>
      </x:c>
      <x:c r="P59" s="37"/>
      <x:c r="Q59" s="37"/>
      <x:c r="R59" s="42"/>
      <x:c r="S59" s="37"/>
    </x:row>
    <x:row r="60">
      <x:c r="A60" s="37"/>
      <x:c r="B60" s="59" t="str">
        <x:f>IF(C60="","","EXP-"&amp;TEXT(C60,"yymmdd")&amp;"-"&amp;TEXT(ROW()-5,"0000"))</x:f>
      </x:c>
      <x:c r="C60" s="42"/>
      <x:c r="D60" s="37"/>
      <x:c r="E60" s="37"/>
      <x:c r="F60" s="37"/>
      <x:c r="G60" s="37"/>
      <x:c r="H60" s="44"/>
      <x:c r="I60" s="44"/>
      <x:c r="J60" s="76" t="str">
        <x:f>IF(H60="","",MAX(0,H60+I60))</x:f>
      </x:c>
      <x:c r="K60" s="44"/>
      <x:c r="L60" s="76" t="str">
        <x:f>IF(J60="","",MAX(0,J60-K60))</x:f>
      </x:c>
      <x:c r="M60" s="37"/>
      <x:c r="N60" s="42"/>
      <x:c r="O60" s="59" t="str">
        <x:f>IF(J60="","",IF(L60&lt;=0,"Paid",IF(K60&gt;0,"Partial",IF(AND(N60&lt;&gt;"",N60&lt;TODAY()),"Overdue","Unpaid"))))</x:f>
      </x:c>
      <x:c r="P60" s="37"/>
      <x:c r="Q60" s="37"/>
      <x:c r="R60" s="42"/>
      <x:c r="S60" s="37"/>
    </x:row>
    <x:row r="61">
      <x:c r="A61" s="37"/>
      <x:c r="B61" s="59" t="str">
        <x:f>IF(C61="","","EXP-"&amp;TEXT(C61,"yymmdd")&amp;"-"&amp;TEXT(ROW()-5,"0000"))</x:f>
      </x:c>
      <x:c r="C61" s="42"/>
      <x:c r="D61" s="37"/>
      <x:c r="E61" s="37"/>
      <x:c r="F61" s="37"/>
      <x:c r="G61" s="37"/>
      <x:c r="H61" s="44"/>
      <x:c r="I61" s="44"/>
      <x:c r="J61" s="76" t="str">
        <x:f>IF(H61="","",MAX(0,H61+I61))</x:f>
      </x:c>
      <x:c r="K61" s="44"/>
      <x:c r="L61" s="76" t="str">
        <x:f>IF(J61="","",MAX(0,J61-K61))</x:f>
      </x:c>
      <x:c r="M61" s="37"/>
      <x:c r="N61" s="42"/>
      <x:c r="O61" s="59" t="str">
        <x:f>IF(J61="","",IF(L61&lt;=0,"Paid",IF(K61&gt;0,"Partial",IF(AND(N61&lt;&gt;"",N61&lt;TODAY()),"Overdue","Unpaid"))))</x:f>
      </x:c>
      <x:c r="P61" s="37"/>
      <x:c r="Q61" s="37"/>
      <x:c r="R61" s="42"/>
      <x:c r="S61" s="37"/>
    </x:row>
    <x:row r="62">
      <x:c r="A62" s="37"/>
      <x:c r="B62" s="59" t="str">
        <x:f>IF(C62="","","EXP-"&amp;TEXT(C62,"yymmdd")&amp;"-"&amp;TEXT(ROW()-5,"0000"))</x:f>
      </x:c>
      <x:c r="C62" s="42"/>
      <x:c r="D62" s="37"/>
      <x:c r="E62" s="37"/>
      <x:c r="F62" s="37"/>
      <x:c r="G62" s="37"/>
      <x:c r="H62" s="44"/>
      <x:c r="I62" s="44"/>
      <x:c r="J62" s="76" t="str">
        <x:f>IF(H62="","",MAX(0,H62+I62))</x:f>
      </x:c>
      <x:c r="K62" s="44"/>
      <x:c r="L62" s="76" t="str">
        <x:f>IF(J62="","",MAX(0,J62-K62))</x:f>
      </x:c>
      <x:c r="M62" s="37"/>
      <x:c r="N62" s="42"/>
      <x:c r="O62" s="59" t="str">
        <x:f>IF(J62="","",IF(L62&lt;=0,"Paid",IF(K62&gt;0,"Partial",IF(AND(N62&lt;&gt;"",N62&lt;TODAY()),"Overdue","Unpaid"))))</x:f>
      </x:c>
      <x:c r="P62" s="37"/>
      <x:c r="Q62" s="37"/>
      <x:c r="R62" s="42"/>
      <x:c r="S62" s="37"/>
    </x:row>
    <x:row r="63">
      <x:c r="A63" s="37"/>
      <x:c r="B63" s="59" t="str">
        <x:f>IF(C63="","","EXP-"&amp;TEXT(C63,"yymmdd")&amp;"-"&amp;TEXT(ROW()-5,"0000"))</x:f>
      </x:c>
      <x:c r="C63" s="42"/>
      <x:c r="D63" s="37"/>
      <x:c r="E63" s="37"/>
      <x:c r="F63" s="37"/>
      <x:c r="G63" s="37"/>
      <x:c r="H63" s="44"/>
      <x:c r="I63" s="44"/>
      <x:c r="J63" s="76" t="str">
        <x:f>IF(H63="","",MAX(0,H63+I63))</x:f>
      </x:c>
      <x:c r="K63" s="44"/>
      <x:c r="L63" s="76" t="str">
        <x:f>IF(J63="","",MAX(0,J63-K63))</x:f>
      </x:c>
      <x:c r="M63" s="37"/>
      <x:c r="N63" s="42"/>
      <x:c r="O63" s="59" t="str">
        <x:f>IF(J63="","",IF(L63&lt;=0,"Paid",IF(K63&gt;0,"Partial",IF(AND(N63&lt;&gt;"",N63&lt;TODAY()),"Overdue","Unpaid"))))</x:f>
      </x:c>
      <x:c r="P63" s="37"/>
      <x:c r="Q63" s="37"/>
      <x:c r="R63" s="42"/>
      <x:c r="S63" s="37"/>
    </x:row>
    <x:row r="64">
      <x:c r="A64" s="37"/>
      <x:c r="B64" s="59" t="str">
        <x:f>IF(C64="","","EXP-"&amp;TEXT(C64,"yymmdd")&amp;"-"&amp;TEXT(ROW()-5,"0000"))</x:f>
      </x:c>
      <x:c r="C64" s="42"/>
      <x:c r="D64" s="37"/>
      <x:c r="E64" s="37"/>
      <x:c r="F64" s="37"/>
      <x:c r="G64" s="37"/>
      <x:c r="H64" s="44"/>
      <x:c r="I64" s="44"/>
      <x:c r="J64" s="76" t="str">
        <x:f>IF(H64="","",MAX(0,H64+I64))</x:f>
      </x:c>
      <x:c r="K64" s="44"/>
      <x:c r="L64" s="76" t="str">
        <x:f>IF(J64="","",MAX(0,J64-K64))</x:f>
      </x:c>
      <x:c r="M64" s="37"/>
      <x:c r="N64" s="42"/>
      <x:c r="O64" s="59" t="str">
        <x:f>IF(J64="","",IF(L64&lt;=0,"Paid",IF(K64&gt;0,"Partial",IF(AND(N64&lt;&gt;"",N64&lt;TODAY()),"Overdue","Unpaid"))))</x:f>
      </x:c>
      <x:c r="P64" s="37"/>
      <x:c r="Q64" s="37"/>
      <x:c r="R64" s="42"/>
      <x:c r="S64" s="37"/>
    </x:row>
    <x:row r="65">
      <x:c r="A65" s="37"/>
      <x:c r="B65" s="59" t="str">
        <x:f>IF(C65="","","EXP-"&amp;TEXT(C65,"yymmdd")&amp;"-"&amp;TEXT(ROW()-5,"0000"))</x:f>
      </x:c>
      <x:c r="C65" s="42"/>
      <x:c r="D65" s="37"/>
      <x:c r="E65" s="37"/>
      <x:c r="F65" s="37"/>
      <x:c r="G65" s="37"/>
      <x:c r="H65" s="44"/>
      <x:c r="I65" s="44"/>
      <x:c r="J65" s="76" t="str">
        <x:f>IF(H65="","",MAX(0,H65+I65))</x:f>
      </x:c>
      <x:c r="K65" s="44"/>
      <x:c r="L65" s="76" t="str">
        <x:f>IF(J65="","",MAX(0,J65-K65))</x:f>
      </x:c>
      <x:c r="M65" s="37"/>
      <x:c r="N65" s="42"/>
      <x:c r="O65" s="59" t="str">
        <x:f>IF(J65="","",IF(L65&lt;=0,"Paid",IF(K65&gt;0,"Partial",IF(AND(N65&lt;&gt;"",N65&lt;TODAY()),"Overdue","Unpaid"))))</x:f>
      </x:c>
      <x:c r="P65" s="37"/>
      <x:c r="Q65" s="37"/>
      <x:c r="R65" s="42"/>
      <x:c r="S65" s="37"/>
    </x:row>
    <x:row r="66">
      <x:c r="A66" s="37"/>
      <x:c r="B66" s="59" t="str">
        <x:f>IF(C66="","","EXP-"&amp;TEXT(C66,"yymmdd")&amp;"-"&amp;TEXT(ROW()-5,"0000"))</x:f>
      </x:c>
      <x:c r="C66" s="42"/>
      <x:c r="D66" s="37"/>
      <x:c r="E66" s="37"/>
      <x:c r="F66" s="37"/>
      <x:c r="G66" s="37"/>
      <x:c r="H66" s="44"/>
      <x:c r="I66" s="44"/>
      <x:c r="J66" s="76" t="str">
        <x:f>IF(H66="","",MAX(0,H66+I66))</x:f>
      </x:c>
      <x:c r="K66" s="44"/>
      <x:c r="L66" s="76" t="str">
        <x:f>IF(J66="","",MAX(0,J66-K66))</x:f>
      </x:c>
      <x:c r="M66" s="37"/>
      <x:c r="N66" s="42"/>
      <x:c r="O66" s="59" t="str">
        <x:f>IF(J66="","",IF(L66&lt;=0,"Paid",IF(K66&gt;0,"Partial",IF(AND(N66&lt;&gt;"",N66&lt;TODAY()),"Overdue","Unpaid"))))</x:f>
      </x:c>
      <x:c r="P66" s="37"/>
      <x:c r="Q66" s="37"/>
      <x:c r="R66" s="42"/>
      <x:c r="S66" s="37"/>
    </x:row>
    <x:row r="67">
      <x:c r="A67" s="37"/>
      <x:c r="B67" s="59" t="str">
        <x:f>IF(C67="","","EXP-"&amp;TEXT(C67,"yymmdd")&amp;"-"&amp;TEXT(ROW()-5,"0000"))</x:f>
      </x:c>
      <x:c r="C67" s="42"/>
      <x:c r="D67" s="37"/>
      <x:c r="E67" s="37"/>
      <x:c r="F67" s="37"/>
      <x:c r="G67" s="37"/>
      <x:c r="H67" s="44"/>
      <x:c r="I67" s="44"/>
      <x:c r="J67" s="76" t="str">
        <x:f>IF(H67="","",MAX(0,H67+I67))</x:f>
      </x:c>
      <x:c r="K67" s="44"/>
      <x:c r="L67" s="76" t="str">
        <x:f>IF(J67="","",MAX(0,J67-K67))</x:f>
      </x:c>
      <x:c r="M67" s="37"/>
      <x:c r="N67" s="42"/>
      <x:c r="O67" s="59" t="str">
        <x:f>IF(J67="","",IF(L67&lt;=0,"Paid",IF(K67&gt;0,"Partial",IF(AND(N67&lt;&gt;"",N67&lt;TODAY()),"Overdue","Unpaid"))))</x:f>
      </x:c>
      <x:c r="P67" s="37"/>
      <x:c r="Q67" s="37"/>
      <x:c r="R67" s="42"/>
      <x:c r="S67" s="37"/>
    </x:row>
    <x:row r="68">
      <x:c r="A68" s="37"/>
      <x:c r="B68" s="59" t="str">
        <x:f>IF(C68="","","EXP-"&amp;TEXT(C68,"yymmdd")&amp;"-"&amp;TEXT(ROW()-5,"0000"))</x:f>
      </x:c>
      <x:c r="C68" s="42"/>
      <x:c r="D68" s="37"/>
      <x:c r="E68" s="37"/>
      <x:c r="F68" s="37"/>
      <x:c r="G68" s="37"/>
      <x:c r="H68" s="44"/>
      <x:c r="I68" s="44"/>
      <x:c r="J68" s="76" t="str">
        <x:f>IF(H68="","",MAX(0,H68+I68))</x:f>
      </x:c>
      <x:c r="K68" s="44"/>
      <x:c r="L68" s="76" t="str">
        <x:f>IF(J68="","",MAX(0,J68-K68))</x:f>
      </x:c>
      <x:c r="M68" s="37"/>
      <x:c r="N68" s="42"/>
      <x:c r="O68" s="59" t="str">
        <x:f>IF(J68="","",IF(L68&lt;=0,"Paid",IF(K68&gt;0,"Partial",IF(AND(N68&lt;&gt;"",N68&lt;TODAY()),"Overdue","Unpaid"))))</x:f>
      </x:c>
      <x:c r="P68" s="37"/>
      <x:c r="Q68" s="37"/>
      <x:c r="R68" s="42"/>
      <x:c r="S68" s="37"/>
    </x:row>
    <x:row r="69">
      <x:c r="A69" s="37"/>
      <x:c r="B69" s="59" t="str">
        <x:f>IF(C69="","","EXP-"&amp;TEXT(C69,"yymmdd")&amp;"-"&amp;TEXT(ROW()-5,"0000"))</x:f>
      </x:c>
      <x:c r="C69" s="42"/>
      <x:c r="D69" s="37"/>
      <x:c r="E69" s="37"/>
      <x:c r="F69" s="37"/>
      <x:c r="G69" s="37"/>
      <x:c r="H69" s="44"/>
      <x:c r="I69" s="44"/>
      <x:c r="J69" s="76" t="str">
        <x:f>IF(H69="","",MAX(0,H69+I69))</x:f>
      </x:c>
      <x:c r="K69" s="44"/>
      <x:c r="L69" s="76" t="str">
        <x:f>IF(J69="","",MAX(0,J69-K69))</x:f>
      </x:c>
      <x:c r="M69" s="37"/>
      <x:c r="N69" s="42"/>
      <x:c r="O69" s="59" t="str">
        <x:f>IF(J69="","",IF(L69&lt;=0,"Paid",IF(K69&gt;0,"Partial",IF(AND(N69&lt;&gt;"",N69&lt;TODAY()),"Overdue","Unpaid"))))</x:f>
      </x:c>
      <x:c r="P69" s="37"/>
      <x:c r="Q69" s="37"/>
      <x:c r="R69" s="42"/>
      <x:c r="S69" s="37"/>
    </x:row>
    <x:row r="70">
      <x:c r="A70" s="37"/>
      <x:c r="B70" s="59" t="str">
        <x:f>IF(C70="","","EXP-"&amp;TEXT(C70,"yymmdd")&amp;"-"&amp;TEXT(ROW()-5,"0000"))</x:f>
      </x:c>
      <x:c r="C70" s="42"/>
      <x:c r="D70" s="37"/>
      <x:c r="E70" s="37"/>
      <x:c r="F70" s="37"/>
      <x:c r="G70" s="37"/>
      <x:c r="H70" s="44"/>
      <x:c r="I70" s="44"/>
      <x:c r="J70" s="76" t="str">
        <x:f>IF(H70="","",MAX(0,H70+I70))</x:f>
      </x:c>
      <x:c r="K70" s="44"/>
      <x:c r="L70" s="76" t="str">
        <x:f>IF(J70="","",MAX(0,J70-K70))</x:f>
      </x:c>
      <x:c r="M70" s="37"/>
      <x:c r="N70" s="42"/>
      <x:c r="O70" s="59" t="str">
        <x:f>IF(J70="","",IF(L70&lt;=0,"Paid",IF(K70&gt;0,"Partial",IF(AND(N70&lt;&gt;"",N70&lt;TODAY()),"Overdue","Unpaid"))))</x:f>
      </x:c>
      <x:c r="P70" s="37"/>
      <x:c r="Q70" s="37"/>
      <x:c r="R70" s="42"/>
      <x:c r="S70" s="37"/>
    </x:row>
    <x:row r="71">
      <x:c r="A71" s="37"/>
      <x:c r="B71" s="59" t="str">
        <x:f>IF(C71="","","EXP-"&amp;TEXT(C71,"yymmdd")&amp;"-"&amp;TEXT(ROW()-5,"0000"))</x:f>
      </x:c>
      <x:c r="C71" s="42"/>
      <x:c r="D71" s="37"/>
      <x:c r="E71" s="37"/>
      <x:c r="F71" s="37"/>
      <x:c r="G71" s="37"/>
      <x:c r="H71" s="44"/>
      <x:c r="I71" s="44"/>
      <x:c r="J71" s="76" t="str">
        <x:f>IF(H71="","",MAX(0,H71+I71))</x:f>
      </x:c>
      <x:c r="K71" s="44"/>
      <x:c r="L71" s="76" t="str">
        <x:f>IF(J71="","",MAX(0,J71-K71))</x:f>
      </x:c>
      <x:c r="M71" s="37"/>
      <x:c r="N71" s="42"/>
      <x:c r="O71" s="59" t="str">
        <x:f>IF(J71="","",IF(L71&lt;=0,"Paid",IF(K71&gt;0,"Partial",IF(AND(N71&lt;&gt;"",N71&lt;TODAY()),"Overdue","Unpaid"))))</x:f>
      </x:c>
      <x:c r="P71" s="37"/>
      <x:c r="Q71" s="37"/>
      <x:c r="R71" s="42"/>
      <x:c r="S71" s="37"/>
    </x:row>
    <x:row r="72">
      <x:c r="A72" s="37"/>
      <x:c r="B72" s="59" t="str">
        <x:f>IF(C72="","","EXP-"&amp;TEXT(C72,"yymmdd")&amp;"-"&amp;TEXT(ROW()-5,"0000"))</x:f>
      </x:c>
      <x:c r="C72" s="42"/>
      <x:c r="D72" s="37"/>
      <x:c r="E72" s="37"/>
      <x:c r="F72" s="37"/>
      <x:c r="G72" s="37"/>
      <x:c r="H72" s="44"/>
      <x:c r="I72" s="44"/>
      <x:c r="J72" s="76" t="str">
        <x:f>IF(H72="","",MAX(0,H72+I72))</x:f>
      </x:c>
      <x:c r="K72" s="44"/>
      <x:c r="L72" s="76" t="str">
        <x:f>IF(J72="","",MAX(0,J72-K72))</x:f>
      </x:c>
      <x:c r="M72" s="37"/>
      <x:c r="N72" s="42"/>
      <x:c r="O72" s="59" t="str">
        <x:f>IF(J72="","",IF(L72&lt;=0,"Paid",IF(K72&gt;0,"Partial",IF(AND(N72&lt;&gt;"",N72&lt;TODAY()),"Overdue","Unpaid"))))</x:f>
      </x:c>
      <x:c r="P72" s="37"/>
      <x:c r="Q72" s="37"/>
      <x:c r="R72" s="42"/>
      <x:c r="S72" s="37"/>
    </x:row>
    <x:row r="73">
      <x:c r="A73" s="37"/>
      <x:c r="B73" s="59" t="str">
        <x:f>IF(C73="","","EXP-"&amp;TEXT(C73,"yymmdd")&amp;"-"&amp;TEXT(ROW()-5,"0000"))</x:f>
      </x:c>
      <x:c r="C73" s="42"/>
      <x:c r="D73" s="37"/>
      <x:c r="E73" s="37"/>
      <x:c r="F73" s="37"/>
      <x:c r="G73" s="37"/>
      <x:c r="H73" s="44"/>
      <x:c r="I73" s="44"/>
      <x:c r="J73" s="76" t="str">
        <x:f>IF(H73="","",MAX(0,H73+I73))</x:f>
      </x:c>
      <x:c r="K73" s="44"/>
      <x:c r="L73" s="76" t="str">
        <x:f>IF(J73="","",MAX(0,J73-K73))</x:f>
      </x:c>
      <x:c r="M73" s="37"/>
      <x:c r="N73" s="42"/>
      <x:c r="O73" s="59" t="str">
        <x:f>IF(J73="","",IF(L73&lt;=0,"Paid",IF(K73&gt;0,"Partial",IF(AND(N73&lt;&gt;"",N73&lt;TODAY()),"Overdue","Unpaid"))))</x:f>
      </x:c>
      <x:c r="P73" s="37"/>
      <x:c r="Q73" s="37"/>
      <x:c r="R73" s="42"/>
      <x:c r="S73" s="37"/>
    </x:row>
    <x:row r="74">
      <x:c r="A74" s="37"/>
      <x:c r="B74" s="59" t="str">
        <x:f>IF(C74="","","EXP-"&amp;TEXT(C74,"yymmdd")&amp;"-"&amp;TEXT(ROW()-5,"0000"))</x:f>
      </x:c>
      <x:c r="C74" s="42"/>
      <x:c r="D74" s="37"/>
      <x:c r="E74" s="37"/>
      <x:c r="F74" s="37"/>
      <x:c r="G74" s="37"/>
      <x:c r="H74" s="44"/>
      <x:c r="I74" s="44"/>
      <x:c r="J74" s="76" t="str">
        <x:f>IF(H74="","",MAX(0,H74+I74))</x:f>
      </x:c>
      <x:c r="K74" s="44"/>
      <x:c r="L74" s="76" t="str">
        <x:f>IF(J74="","",MAX(0,J74-K74))</x:f>
      </x:c>
      <x:c r="M74" s="37"/>
      <x:c r="N74" s="42"/>
      <x:c r="O74" s="59" t="str">
        <x:f>IF(J74="","",IF(L74&lt;=0,"Paid",IF(K74&gt;0,"Partial",IF(AND(N74&lt;&gt;"",N74&lt;TODAY()),"Overdue","Unpaid"))))</x:f>
      </x:c>
      <x:c r="P74" s="37"/>
      <x:c r="Q74" s="37"/>
      <x:c r="R74" s="42"/>
      <x:c r="S74" s="37"/>
    </x:row>
    <x:row r="75">
      <x:c r="A75" s="37"/>
      <x:c r="B75" s="59" t="str">
        <x:f>IF(C75="","","EXP-"&amp;TEXT(C75,"yymmdd")&amp;"-"&amp;TEXT(ROW()-5,"0000"))</x:f>
      </x:c>
      <x:c r="C75" s="42"/>
      <x:c r="D75" s="37"/>
      <x:c r="E75" s="37"/>
      <x:c r="F75" s="37"/>
      <x:c r="G75" s="37"/>
      <x:c r="H75" s="44"/>
      <x:c r="I75" s="44"/>
      <x:c r="J75" s="76" t="str">
        <x:f>IF(H75="","",MAX(0,H75+I75))</x:f>
      </x:c>
      <x:c r="K75" s="44"/>
      <x:c r="L75" s="76" t="str">
        <x:f>IF(J75="","",MAX(0,J75-K75))</x:f>
      </x:c>
      <x:c r="M75" s="37"/>
      <x:c r="N75" s="42"/>
      <x:c r="O75" s="59" t="str">
        <x:f>IF(J75="","",IF(L75&lt;=0,"Paid",IF(K75&gt;0,"Partial",IF(AND(N75&lt;&gt;"",N75&lt;TODAY()),"Overdue","Unpaid"))))</x:f>
      </x:c>
      <x:c r="P75" s="37"/>
      <x:c r="Q75" s="37"/>
      <x:c r="R75" s="42"/>
      <x:c r="S75" s="37"/>
    </x:row>
    <x:row r="76">
      <x:c r="A76" s="37"/>
      <x:c r="B76" s="59" t="str">
        <x:f>IF(C76="","","EXP-"&amp;TEXT(C76,"yymmdd")&amp;"-"&amp;TEXT(ROW()-5,"0000"))</x:f>
      </x:c>
      <x:c r="C76" s="42"/>
      <x:c r="D76" s="37"/>
      <x:c r="E76" s="37"/>
      <x:c r="F76" s="37"/>
      <x:c r="G76" s="37"/>
      <x:c r="H76" s="44"/>
      <x:c r="I76" s="44"/>
      <x:c r="J76" s="76" t="str">
        <x:f>IF(H76="","",MAX(0,H76+I76))</x:f>
      </x:c>
      <x:c r="K76" s="44"/>
      <x:c r="L76" s="76" t="str">
        <x:f>IF(J76="","",MAX(0,J76-K76))</x:f>
      </x:c>
      <x:c r="M76" s="37"/>
      <x:c r="N76" s="42"/>
      <x:c r="O76" s="59" t="str">
        <x:f>IF(J76="","",IF(L76&lt;=0,"Paid",IF(K76&gt;0,"Partial",IF(AND(N76&lt;&gt;"",N76&lt;TODAY()),"Overdue","Unpaid"))))</x:f>
      </x:c>
      <x:c r="P76" s="37"/>
      <x:c r="Q76" s="37"/>
      <x:c r="R76" s="42"/>
      <x:c r="S76" s="37"/>
    </x:row>
    <x:row r="77">
      <x:c r="A77" s="37"/>
      <x:c r="B77" s="59" t="str">
        <x:f>IF(C77="","","EXP-"&amp;TEXT(C77,"yymmdd")&amp;"-"&amp;TEXT(ROW()-5,"0000"))</x:f>
      </x:c>
      <x:c r="C77" s="42"/>
      <x:c r="D77" s="37"/>
      <x:c r="E77" s="37"/>
      <x:c r="F77" s="37"/>
      <x:c r="G77" s="37"/>
      <x:c r="H77" s="44"/>
      <x:c r="I77" s="44"/>
      <x:c r="J77" s="76" t="str">
        <x:f>IF(H77="","",MAX(0,H77+I77))</x:f>
      </x:c>
      <x:c r="K77" s="44"/>
      <x:c r="L77" s="76" t="str">
        <x:f>IF(J77="","",MAX(0,J77-K77))</x:f>
      </x:c>
      <x:c r="M77" s="37"/>
      <x:c r="N77" s="42"/>
      <x:c r="O77" s="59" t="str">
        <x:f>IF(J77="","",IF(L77&lt;=0,"Paid",IF(K77&gt;0,"Partial",IF(AND(N77&lt;&gt;"",N77&lt;TODAY()),"Overdue","Unpaid"))))</x:f>
      </x:c>
      <x:c r="P77" s="37"/>
      <x:c r="Q77" s="37"/>
      <x:c r="R77" s="42"/>
      <x:c r="S77" s="37"/>
    </x:row>
    <x:row r="78">
      <x:c r="A78" s="37"/>
      <x:c r="B78" s="59" t="str">
        <x:f>IF(C78="","","EXP-"&amp;TEXT(C78,"yymmdd")&amp;"-"&amp;TEXT(ROW()-5,"0000"))</x:f>
      </x:c>
      <x:c r="C78" s="42"/>
      <x:c r="D78" s="37"/>
      <x:c r="E78" s="37"/>
      <x:c r="F78" s="37"/>
      <x:c r="G78" s="37"/>
      <x:c r="H78" s="44"/>
      <x:c r="I78" s="44"/>
      <x:c r="J78" s="76" t="str">
        <x:f>IF(H78="","",MAX(0,H78+I78))</x:f>
      </x:c>
      <x:c r="K78" s="44"/>
      <x:c r="L78" s="76" t="str">
        <x:f>IF(J78="","",MAX(0,J78-K78))</x:f>
      </x:c>
      <x:c r="M78" s="37"/>
      <x:c r="N78" s="42"/>
      <x:c r="O78" s="59" t="str">
        <x:f>IF(J78="","",IF(L78&lt;=0,"Paid",IF(K78&gt;0,"Partial",IF(AND(N78&lt;&gt;"",N78&lt;TODAY()),"Overdue","Unpaid"))))</x:f>
      </x:c>
      <x:c r="P78" s="37"/>
      <x:c r="Q78" s="37"/>
      <x:c r="R78" s="42"/>
      <x:c r="S78" s="37"/>
    </x:row>
    <x:row r="79">
      <x:c r="A79" s="37"/>
      <x:c r="B79" s="59" t="str">
        <x:f>IF(C79="","","EXP-"&amp;TEXT(C79,"yymmdd")&amp;"-"&amp;TEXT(ROW()-5,"0000"))</x:f>
      </x:c>
      <x:c r="C79" s="42"/>
      <x:c r="D79" s="37"/>
      <x:c r="E79" s="37"/>
      <x:c r="F79" s="37"/>
      <x:c r="G79" s="37"/>
      <x:c r="H79" s="44"/>
      <x:c r="I79" s="44"/>
      <x:c r="J79" s="76" t="str">
        <x:f>IF(H79="","",MAX(0,H79+I79))</x:f>
      </x:c>
      <x:c r="K79" s="44"/>
      <x:c r="L79" s="76" t="str">
        <x:f>IF(J79="","",MAX(0,J79-K79))</x:f>
      </x:c>
      <x:c r="M79" s="37"/>
      <x:c r="N79" s="42"/>
      <x:c r="O79" s="59" t="str">
        <x:f>IF(J79="","",IF(L79&lt;=0,"Paid",IF(K79&gt;0,"Partial",IF(AND(N79&lt;&gt;"",N79&lt;TODAY()),"Overdue","Unpaid"))))</x:f>
      </x:c>
      <x:c r="P79" s="37"/>
      <x:c r="Q79" s="37"/>
      <x:c r="R79" s="42"/>
      <x:c r="S79" s="37"/>
    </x:row>
    <x:row r="80">
      <x:c r="A80" s="37"/>
      <x:c r="B80" s="59" t="str">
        <x:f>IF(C80="","","EXP-"&amp;TEXT(C80,"yymmdd")&amp;"-"&amp;TEXT(ROW()-5,"0000"))</x:f>
      </x:c>
      <x:c r="C80" s="42"/>
      <x:c r="D80" s="37"/>
      <x:c r="E80" s="37"/>
      <x:c r="F80" s="37"/>
      <x:c r="G80" s="37"/>
      <x:c r="H80" s="44"/>
      <x:c r="I80" s="44"/>
      <x:c r="J80" s="76" t="str">
        <x:f>IF(H80="","",MAX(0,H80+I80))</x:f>
      </x:c>
      <x:c r="K80" s="44"/>
      <x:c r="L80" s="76" t="str">
        <x:f>IF(J80="","",MAX(0,J80-K80))</x:f>
      </x:c>
      <x:c r="M80" s="37"/>
      <x:c r="N80" s="42"/>
      <x:c r="O80" s="59" t="str">
        <x:f>IF(J80="","",IF(L80&lt;=0,"Paid",IF(K80&gt;0,"Partial",IF(AND(N80&lt;&gt;"",N80&lt;TODAY()),"Overdue","Unpaid"))))</x:f>
      </x:c>
      <x:c r="P80" s="37"/>
      <x:c r="Q80" s="37"/>
      <x:c r="R80" s="42"/>
      <x:c r="S80" s="37"/>
    </x:row>
    <x:row r="81">
      <x:c r="A81" s="37"/>
      <x:c r="B81" s="59" t="str">
        <x:f>IF(C81="","","EXP-"&amp;TEXT(C81,"yymmdd")&amp;"-"&amp;TEXT(ROW()-5,"0000"))</x:f>
      </x:c>
      <x:c r="C81" s="42"/>
      <x:c r="D81" s="37"/>
      <x:c r="E81" s="37"/>
      <x:c r="F81" s="37"/>
      <x:c r="G81" s="37"/>
      <x:c r="H81" s="44"/>
      <x:c r="I81" s="44"/>
      <x:c r="J81" s="76" t="str">
        <x:f>IF(H81="","",MAX(0,H81+I81))</x:f>
      </x:c>
      <x:c r="K81" s="44"/>
      <x:c r="L81" s="76" t="str">
        <x:f>IF(J81="","",MAX(0,J81-K81))</x:f>
      </x:c>
      <x:c r="M81" s="37"/>
      <x:c r="N81" s="42"/>
      <x:c r="O81" s="59" t="str">
        <x:f>IF(J81="","",IF(L81&lt;=0,"Paid",IF(K81&gt;0,"Partial",IF(AND(N81&lt;&gt;"",N81&lt;TODAY()),"Overdue","Unpaid"))))</x:f>
      </x:c>
      <x:c r="P81" s="37"/>
      <x:c r="Q81" s="37"/>
      <x:c r="R81" s="42"/>
      <x:c r="S81" s="37"/>
    </x:row>
    <x:row r="82">
      <x:c r="A82" s="37"/>
      <x:c r="B82" s="59" t="str">
        <x:f>IF(C82="","","EXP-"&amp;TEXT(C82,"yymmdd")&amp;"-"&amp;TEXT(ROW()-5,"0000"))</x:f>
      </x:c>
      <x:c r="C82" s="42"/>
      <x:c r="D82" s="37"/>
      <x:c r="E82" s="37"/>
      <x:c r="F82" s="37"/>
      <x:c r="G82" s="37"/>
      <x:c r="H82" s="44"/>
      <x:c r="I82" s="44"/>
      <x:c r="J82" s="76" t="str">
        <x:f>IF(H82="","",MAX(0,H82+I82))</x:f>
      </x:c>
      <x:c r="K82" s="44"/>
      <x:c r="L82" s="76" t="str">
        <x:f>IF(J82="","",MAX(0,J82-K82))</x:f>
      </x:c>
      <x:c r="M82" s="37"/>
      <x:c r="N82" s="42"/>
      <x:c r="O82" s="59" t="str">
        <x:f>IF(J82="","",IF(L82&lt;=0,"Paid",IF(K82&gt;0,"Partial",IF(AND(N82&lt;&gt;"",N82&lt;TODAY()),"Overdue","Unpaid"))))</x:f>
      </x:c>
      <x:c r="P82" s="37"/>
      <x:c r="Q82" s="37"/>
      <x:c r="R82" s="42"/>
      <x:c r="S82" s="37"/>
    </x:row>
    <x:row r="83">
      <x:c r="A83" s="37"/>
      <x:c r="B83" s="59" t="str">
        <x:f>IF(C83="","","EXP-"&amp;TEXT(C83,"yymmdd")&amp;"-"&amp;TEXT(ROW()-5,"0000"))</x:f>
      </x:c>
      <x:c r="C83" s="42"/>
      <x:c r="D83" s="37"/>
      <x:c r="E83" s="37"/>
      <x:c r="F83" s="37"/>
      <x:c r="G83" s="37"/>
      <x:c r="H83" s="44"/>
      <x:c r="I83" s="44"/>
      <x:c r="J83" s="76" t="str">
        <x:f>IF(H83="","",MAX(0,H83+I83))</x:f>
      </x:c>
      <x:c r="K83" s="44"/>
      <x:c r="L83" s="76" t="str">
        <x:f>IF(J83="","",MAX(0,J83-K83))</x:f>
      </x:c>
      <x:c r="M83" s="37"/>
      <x:c r="N83" s="42"/>
      <x:c r="O83" s="59" t="str">
        <x:f>IF(J83="","",IF(L83&lt;=0,"Paid",IF(K83&gt;0,"Partial",IF(AND(N83&lt;&gt;"",N83&lt;TODAY()),"Overdue","Unpaid"))))</x:f>
      </x:c>
      <x:c r="P83" s="37"/>
      <x:c r="Q83" s="37"/>
      <x:c r="R83" s="42"/>
      <x:c r="S83" s="37"/>
    </x:row>
    <x:row r="84">
      <x:c r="A84" s="37"/>
      <x:c r="B84" s="59" t="str">
        <x:f>IF(C84="","","EXP-"&amp;TEXT(C84,"yymmdd")&amp;"-"&amp;TEXT(ROW()-5,"0000"))</x:f>
      </x:c>
      <x:c r="C84" s="42"/>
      <x:c r="D84" s="37"/>
      <x:c r="E84" s="37"/>
      <x:c r="F84" s="37"/>
      <x:c r="G84" s="37"/>
      <x:c r="H84" s="44"/>
      <x:c r="I84" s="44"/>
      <x:c r="J84" s="76" t="str">
        <x:f>IF(H84="","",MAX(0,H84+I84))</x:f>
      </x:c>
      <x:c r="K84" s="44"/>
      <x:c r="L84" s="76" t="str">
        <x:f>IF(J84="","",MAX(0,J84-K84))</x:f>
      </x:c>
      <x:c r="M84" s="37"/>
      <x:c r="N84" s="42"/>
      <x:c r="O84" s="59" t="str">
        <x:f>IF(J84="","",IF(L84&lt;=0,"Paid",IF(K84&gt;0,"Partial",IF(AND(N84&lt;&gt;"",N84&lt;TODAY()),"Overdue","Unpaid"))))</x:f>
      </x:c>
      <x:c r="P84" s="37"/>
      <x:c r="Q84" s="37"/>
      <x:c r="R84" s="42"/>
      <x:c r="S84" s="37"/>
    </x:row>
    <x:row r="85">
      <x:c r="A85" s="37"/>
      <x:c r="B85" s="59" t="str">
        <x:f>IF(C85="","","EXP-"&amp;TEXT(C85,"yymmdd")&amp;"-"&amp;TEXT(ROW()-5,"0000"))</x:f>
      </x:c>
      <x:c r="C85" s="42"/>
      <x:c r="D85" s="37"/>
      <x:c r="E85" s="37"/>
      <x:c r="F85" s="37"/>
      <x:c r="G85" s="37"/>
      <x:c r="H85" s="44"/>
      <x:c r="I85" s="44"/>
      <x:c r="J85" s="76" t="str">
        <x:f>IF(H85="","",MAX(0,H85+I85))</x:f>
      </x:c>
      <x:c r="K85" s="44"/>
      <x:c r="L85" s="76" t="str">
        <x:f>IF(J85="","",MAX(0,J85-K85))</x:f>
      </x:c>
      <x:c r="M85" s="37"/>
      <x:c r="N85" s="42"/>
      <x:c r="O85" s="59" t="str">
        <x:f>IF(J85="","",IF(L85&lt;=0,"Paid",IF(K85&gt;0,"Partial",IF(AND(N85&lt;&gt;"",N85&lt;TODAY()),"Overdue","Unpaid"))))</x:f>
      </x:c>
      <x:c r="P85" s="37"/>
      <x:c r="Q85" s="37"/>
      <x:c r="R85" s="42"/>
      <x:c r="S85" s="37"/>
    </x:row>
    <x:row r="86">
      <x:c r="A86" s="37"/>
      <x:c r="B86" s="59" t="str">
        <x:f>IF(C86="","","EXP-"&amp;TEXT(C86,"yymmdd")&amp;"-"&amp;TEXT(ROW()-5,"0000"))</x:f>
      </x:c>
      <x:c r="C86" s="42"/>
      <x:c r="D86" s="37"/>
      <x:c r="E86" s="37"/>
      <x:c r="F86" s="37"/>
      <x:c r="G86" s="37"/>
      <x:c r="H86" s="44"/>
      <x:c r="I86" s="44"/>
      <x:c r="J86" s="76" t="str">
        <x:f>IF(H86="","",MAX(0,H86+I86))</x:f>
      </x:c>
      <x:c r="K86" s="44"/>
      <x:c r="L86" s="76" t="str">
        <x:f>IF(J86="","",MAX(0,J86-K86))</x:f>
      </x:c>
      <x:c r="M86" s="37"/>
      <x:c r="N86" s="42"/>
      <x:c r="O86" s="59" t="str">
        <x:f>IF(J86="","",IF(L86&lt;=0,"Paid",IF(K86&gt;0,"Partial",IF(AND(N86&lt;&gt;"",N86&lt;TODAY()),"Overdue","Unpaid"))))</x:f>
      </x:c>
      <x:c r="P86" s="37"/>
      <x:c r="Q86" s="37"/>
      <x:c r="R86" s="42"/>
      <x:c r="S86" s="37"/>
    </x:row>
    <x:row r="87">
      <x:c r="A87" s="37"/>
      <x:c r="B87" s="59" t="str">
        <x:f>IF(C87="","","EXP-"&amp;TEXT(C87,"yymmdd")&amp;"-"&amp;TEXT(ROW()-5,"0000"))</x:f>
      </x:c>
      <x:c r="C87" s="42"/>
      <x:c r="D87" s="37"/>
      <x:c r="E87" s="37"/>
      <x:c r="F87" s="37"/>
      <x:c r="G87" s="37"/>
      <x:c r="H87" s="44"/>
      <x:c r="I87" s="44"/>
      <x:c r="J87" s="76" t="str">
        <x:f>IF(H87="","",MAX(0,H87+I87))</x:f>
      </x:c>
      <x:c r="K87" s="44"/>
      <x:c r="L87" s="76" t="str">
        <x:f>IF(J87="","",MAX(0,J87-K87))</x:f>
      </x:c>
      <x:c r="M87" s="37"/>
      <x:c r="N87" s="42"/>
      <x:c r="O87" s="59" t="str">
        <x:f>IF(J87="","",IF(L87&lt;=0,"Paid",IF(K87&gt;0,"Partial",IF(AND(N87&lt;&gt;"",N87&lt;TODAY()),"Overdue","Unpaid"))))</x:f>
      </x:c>
      <x:c r="P87" s="37"/>
      <x:c r="Q87" s="37"/>
      <x:c r="R87" s="42"/>
      <x:c r="S87" s="37"/>
    </x:row>
    <x:row r="88">
      <x:c r="A88" s="37"/>
      <x:c r="B88" s="59" t="str">
        <x:f>IF(C88="","","EXP-"&amp;TEXT(C88,"yymmdd")&amp;"-"&amp;TEXT(ROW()-5,"0000"))</x:f>
      </x:c>
      <x:c r="C88" s="42"/>
      <x:c r="D88" s="37"/>
      <x:c r="E88" s="37"/>
      <x:c r="F88" s="37"/>
      <x:c r="G88" s="37"/>
      <x:c r="H88" s="44"/>
      <x:c r="I88" s="44"/>
      <x:c r="J88" s="76" t="str">
        <x:f>IF(H88="","",MAX(0,H88+I88))</x:f>
      </x:c>
      <x:c r="K88" s="44"/>
      <x:c r="L88" s="76" t="str">
        <x:f>IF(J88="","",MAX(0,J88-K88))</x:f>
      </x:c>
      <x:c r="M88" s="37"/>
      <x:c r="N88" s="42"/>
      <x:c r="O88" s="59" t="str">
        <x:f>IF(J88="","",IF(L88&lt;=0,"Paid",IF(K88&gt;0,"Partial",IF(AND(N88&lt;&gt;"",N88&lt;TODAY()),"Overdue","Unpaid"))))</x:f>
      </x:c>
      <x:c r="P88" s="37"/>
      <x:c r="Q88" s="37"/>
      <x:c r="R88" s="42"/>
      <x:c r="S88" s="37"/>
    </x:row>
    <x:row r="89">
      <x:c r="A89" s="37"/>
      <x:c r="B89" s="59" t="str">
        <x:f>IF(C89="","","EXP-"&amp;TEXT(C89,"yymmdd")&amp;"-"&amp;TEXT(ROW()-5,"0000"))</x:f>
      </x:c>
      <x:c r="C89" s="42"/>
      <x:c r="D89" s="37"/>
      <x:c r="E89" s="37"/>
      <x:c r="F89" s="37"/>
      <x:c r="G89" s="37"/>
      <x:c r="H89" s="44"/>
      <x:c r="I89" s="44"/>
      <x:c r="J89" s="76" t="str">
        <x:f>IF(H89="","",MAX(0,H89+I89))</x:f>
      </x:c>
      <x:c r="K89" s="44"/>
      <x:c r="L89" s="76" t="str">
        <x:f>IF(J89="","",MAX(0,J89-K89))</x:f>
      </x:c>
      <x:c r="M89" s="37"/>
      <x:c r="N89" s="42"/>
      <x:c r="O89" s="59" t="str">
        <x:f>IF(J89="","",IF(L89&lt;=0,"Paid",IF(K89&gt;0,"Partial",IF(AND(N89&lt;&gt;"",N89&lt;TODAY()),"Overdue","Unpaid"))))</x:f>
      </x:c>
      <x:c r="P89" s="37"/>
      <x:c r="Q89" s="37"/>
      <x:c r="R89" s="42"/>
      <x:c r="S89" s="37"/>
    </x:row>
    <x:row r="90">
      <x:c r="A90" s="37"/>
      <x:c r="B90" s="59" t="str">
        <x:f>IF(C90="","","EXP-"&amp;TEXT(C90,"yymmdd")&amp;"-"&amp;TEXT(ROW()-5,"0000"))</x:f>
      </x:c>
      <x:c r="C90" s="42"/>
      <x:c r="D90" s="37"/>
      <x:c r="E90" s="37"/>
      <x:c r="F90" s="37"/>
      <x:c r="G90" s="37"/>
      <x:c r="H90" s="44"/>
      <x:c r="I90" s="44"/>
      <x:c r="J90" s="76" t="str">
        <x:f>IF(H90="","",MAX(0,H90+I90))</x:f>
      </x:c>
      <x:c r="K90" s="44"/>
      <x:c r="L90" s="76" t="str">
        <x:f>IF(J90="","",MAX(0,J90-K90))</x:f>
      </x:c>
      <x:c r="M90" s="37"/>
      <x:c r="N90" s="42"/>
      <x:c r="O90" s="59" t="str">
        <x:f>IF(J90="","",IF(L90&lt;=0,"Paid",IF(K90&gt;0,"Partial",IF(AND(N90&lt;&gt;"",N90&lt;TODAY()),"Overdue","Unpaid"))))</x:f>
      </x:c>
      <x:c r="P90" s="37"/>
      <x:c r="Q90" s="37"/>
      <x:c r="R90" s="42"/>
      <x:c r="S90" s="37"/>
    </x:row>
    <x:row r="91">
      <x:c r="A91" s="37"/>
      <x:c r="B91" s="59" t="str">
        <x:f>IF(C91="","","EXP-"&amp;TEXT(C91,"yymmdd")&amp;"-"&amp;TEXT(ROW()-5,"0000"))</x:f>
      </x:c>
      <x:c r="C91" s="42"/>
      <x:c r="D91" s="37"/>
      <x:c r="E91" s="37"/>
      <x:c r="F91" s="37"/>
      <x:c r="G91" s="37"/>
      <x:c r="H91" s="44"/>
      <x:c r="I91" s="44"/>
      <x:c r="J91" s="76" t="str">
        <x:f>IF(H91="","",MAX(0,H91+I91))</x:f>
      </x:c>
      <x:c r="K91" s="44"/>
      <x:c r="L91" s="76" t="str">
        <x:f>IF(J91="","",MAX(0,J91-K91))</x:f>
      </x:c>
      <x:c r="M91" s="37"/>
      <x:c r="N91" s="42"/>
      <x:c r="O91" s="59" t="str">
        <x:f>IF(J91="","",IF(L91&lt;=0,"Paid",IF(K91&gt;0,"Partial",IF(AND(N91&lt;&gt;"",N91&lt;TODAY()),"Overdue","Unpaid"))))</x:f>
      </x:c>
      <x:c r="P91" s="37"/>
      <x:c r="Q91" s="37"/>
      <x:c r="R91" s="42"/>
      <x:c r="S91" s="37"/>
    </x:row>
    <x:row r="92">
      <x:c r="A92" s="37"/>
      <x:c r="B92" s="59" t="str">
        <x:f>IF(C92="","","EXP-"&amp;TEXT(C92,"yymmdd")&amp;"-"&amp;TEXT(ROW()-5,"0000"))</x:f>
      </x:c>
      <x:c r="C92" s="42"/>
      <x:c r="D92" s="37"/>
      <x:c r="E92" s="37"/>
      <x:c r="F92" s="37"/>
      <x:c r="G92" s="37"/>
      <x:c r="H92" s="44"/>
      <x:c r="I92" s="44"/>
      <x:c r="J92" s="76" t="str">
        <x:f>IF(H92="","",MAX(0,H92+I92))</x:f>
      </x:c>
      <x:c r="K92" s="44"/>
      <x:c r="L92" s="76" t="str">
        <x:f>IF(J92="","",MAX(0,J92-K92))</x:f>
      </x:c>
      <x:c r="M92" s="37"/>
      <x:c r="N92" s="42"/>
      <x:c r="O92" s="59" t="str">
        <x:f>IF(J92="","",IF(L92&lt;=0,"Paid",IF(K92&gt;0,"Partial",IF(AND(N92&lt;&gt;"",N92&lt;TODAY()),"Overdue","Unpaid"))))</x:f>
      </x:c>
      <x:c r="P92" s="37"/>
      <x:c r="Q92" s="37"/>
      <x:c r="R92" s="42"/>
      <x:c r="S92" s="37"/>
    </x:row>
    <x:row r="93">
      <x:c r="A93" s="37"/>
      <x:c r="B93" s="59" t="str">
        <x:f>IF(C93="","","EXP-"&amp;TEXT(C93,"yymmdd")&amp;"-"&amp;TEXT(ROW()-5,"0000"))</x:f>
      </x:c>
      <x:c r="C93" s="42"/>
      <x:c r="D93" s="37"/>
      <x:c r="E93" s="37"/>
      <x:c r="F93" s="37"/>
      <x:c r="G93" s="37"/>
      <x:c r="H93" s="44"/>
      <x:c r="I93" s="44"/>
      <x:c r="J93" s="76" t="str">
        <x:f>IF(H93="","",MAX(0,H93+I93))</x:f>
      </x:c>
      <x:c r="K93" s="44"/>
      <x:c r="L93" s="76" t="str">
        <x:f>IF(J93="","",MAX(0,J93-K93))</x:f>
      </x:c>
      <x:c r="M93" s="37"/>
      <x:c r="N93" s="42"/>
      <x:c r="O93" s="59" t="str">
        <x:f>IF(J93="","",IF(L93&lt;=0,"Paid",IF(K93&gt;0,"Partial",IF(AND(N93&lt;&gt;"",N93&lt;TODAY()),"Overdue","Unpaid"))))</x:f>
      </x:c>
      <x:c r="P93" s="37"/>
      <x:c r="Q93" s="37"/>
      <x:c r="R93" s="42"/>
      <x:c r="S93" s="37"/>
    </x:row>
    <x:row r="94">
      <x:c r="A94" s="37"/>
      <x:c r="B94" s="59" t="str">
        <x:f>IF(C94="","","EXP-"&amp;TEXT(C94,"yymmdd")&amp;"-"&amp;TEXT(ROW()-5,"0000"))</x:f>
      </x:c>
      <x:c r="C94" s="42"/>
      <x:c r="D94" s="37"/>
      <x:c r="E94" s="37"/>
      <x:c r="F94" s="37"/>
      <x:c r="G94" s="37"/>
      <x:c r="H94" s="44"/>
      <x:c r="I94" s="44"/>
      <x:c r="J94" s="76" t="str">
        <x:f>IF(H94="","",MAX(0,H94+I94))</x:f>
      </x:c>
      <x:c r="K94" s="44"/>
      <x:c r="L94" s="76" t="str">
        <x:f>IF(J94="","",MAX(0,J94-K94))</x:f>
      </x:c>
      <x:c r="M94" s="37"/>
      <x:c r="N94" s="42"/>
      <x:c r="O94" s="59" t="str">
        <x:f>IF(J94="","",IF(L94&lt;=0,"Paid",IF(K94&gt;0,"Partial",IF(AND(N94&lt;&gt;"",N94&lt;TODAY()),"Overdue","Unpaid"))))</x:f>
      </x:c>
      <x:c r="P94" s="37"/>
      <x:c r="Q94" s="37"/>
      <x:c r="R94" s="42"/>
      <x:c r="S94" s="37"/>
    </x:row>
    <x:row r="95">
      <x:c r="A95" s="37"/>
      <x:c r="B95" s="59" t="str">
        <x:f>IF(C95="","","EXP-"&amp;TEXT(C95,"yymmdd")&amp;"-"&amp;TEXT(ROW()-5,"0000"))</x:f>
      </x:c>
      <x:c r="C95" s="42"/>
      <x:c r="D95" s="37"/>
      <x:c r="E95" s="37"/>
      <x:c r="F95" s="37"/>
      <x:c r="G95" s="37"/>
      <x:c r="H95" s="44"/>
      <x:c r="I95" s="44"/>
      <x:c r="J95" s="76" t="str">
        <x:f>IF(H95="","",MAX(0,H95+I95))</x:f>
      </x:c>
      <x:c r="K95" s="44"/>
      <x:c r="L95" s="76" t="str">
        <x:f>IF(J95="","",MAX(0,J95-K95))</x:f>
      </x:c>
      <x:c r="M95" s="37"/>
      <x:c r="N95" s="42"/>
      <x:c r="O95" s="59" t="str">
        <x:f>IF(J95="","",IF(L95&lt;=0,"Paid",IF(K95&gt;0,"Partial",IF(AND(N95&lt;&gt;"",N95&lt;TODAY()),"Overdue","Unpaid"))))</x:f>
      </x:c>
      <x:c r="P95" s="37"/>
      <x:c r="Q95" s="37"/>
      <x:c r="R95" s="42"/>
      <x:c r="S95" s="37"/>
    </x:row>
    <x:row r="96">
      <x:c r="A96" s="37"/>
      <x:c r="B96" s="59" t="str">
        <x:f>IF(C96="","","EXP-"&amp;TEXT(C96,"yymmdd")&amp;"-"&amp;TEXT(ROW()-5,"0000"))</x:f>
      </x:c>
      <x:c r="C96" s="42"/>
      <x:c r="D96" s="37"/>
      <x:c r="E96" s="37"/>
      <x:c r="F96" s="37"/>
      <x:c r="G96" s="37"/>
      <x:c r="H96" s="44"/>
      <x:c r="I96" s="44"/>
      <x:c r="J96" s="76" t="str">
        <x:f>IF(H96="","",MAX(0,H96+I96))</x:f>
      </x:c>
      <x:c r="K96" s="44"/>
      <x:c r="L96" s="76" t="str">
        <x:f>IF(J96="","",MAX(0,J96-K96))</x:f>
      </x:c>
      <x:c r="M96" s="37"/>
      <x:c r="N96" s="42"/>
      <x:c r="O96" s="59" t="str">
        <x:f>IF(J96="","",IF(L96&lt;=0,"Paid",IF(K96&gt;0,"Partial",IF(AND(N96&lt;&gt;"",N96&lt;TODAY()),"Overdue","Unpaid"))))</x:f>
      </x:c>
      <x:c r="P96" s="37"/>
      <x:c r="Q96" s="37"/>
      <x:c r="R96" s="42"/>
      <x:c r="S96" s="37"/>
    </x:row>
    <x:row r="97">
      <x:c r="A97" s="37"/>
      <x:c r="B97" s="59" t="str">
        <x:f>IF(C97="","","EXP-"&amp;TEXT(C97,"yymmdd")&amp;"-"&amp;TEXT(ROW()-5,"0000"))</x:f>
      </x:c>
      <x:c r="C97" s="42"/>
      <x:c r="D97" s="37"/>
      <x:c r="E97" s="37"/>
      <x:c r="F97" s="37"/>
      <x:c r="G97" s="37"/>
      <x:c r="H97" s="44"/>
      <x:c r="I97" s="44"/>
      <x:c r="J97" s="76" t="str">
        <x:f>IF(H97="","",MAX(0,H97+I97))</x:f>
      </x:c>
      <x:c r="K97" s="44"/>
      <x:c r="L97" s="76" t="str">
        <x:f>IF(J97="","",MAX(0,J97-K97))</x:f>
      </x:c>
      <x:c r="M97" s="37"/>
      <x:c r="N97" s="42"/>
      <x:c r="O97" s="59" t="str">
        <x:f>IF(J97="","",IF(L97&lt;=0,"Paid",IF(K97&gt;0,"Partial",IF(AND(N97&lt;&gt;"",N97&lt;TODAY()),"Overdue","Unpaid"))))</x:f>
      </x:c>
      <x:c r="P97" s="37"/>
      <x:c r="Q97" s="37"/>
      <x:c r="R97" s="42"/>
      <x:c r="S97" s="37"/>
    </x:row>
    <x:row r="98">
      <x:c r="A98" s="37"/>
      <x:c r="B98" s="59" t="str">
        <x:f>IF(C98="","","EXP-"&amp;TEXT(C98,"yymmdd")&amp;"-"&amp;TEXT(ROW()-5,"0000"))</x:f>
      </x:c>
      <x:c r="C98" s="42"/>
      <x:c r="D98" s="37"/>
      <x:c r="E98" s="37"/>
      <x:c r="F98" s="37"/>
      <x:c r="G98" s="37"/>
      <x:c r="H98" s="44"/>
      <x:c r="I98" s="44"/>
      <x:c r="J98" s="76" t="str">
        <x:f>IF(H98="","",MAX(0,H98+I98))</x:f>
      </x:c>
      <x:c r="K98" s="44"/>
      <x:c r="L98" s="76" t="str">
        <x:f>IF(J98="","",MAX(0,J98-K98))</x:f>
      </x:c>
      <x:c r="M98" s="37"/>
      <x:c r="N98" s="42"/>
      <x:c r="O98" s="59" t="str">
        <x:f>IF(J98="","",IF(L98&lt;=0,"Paid",IF(K98&gt;0,"Partial",IF(AND(N98&lt;&gt;"",N98&lt;TODAY()),"Overdue","Unpaid"))))</x:f>
      </x:c>
      <x:c r="P98" s="37"/>
      <x:c r="Q98" s="37"/>
      <x:c r="R98" s="42"/>
      <x:c r="S98" s="37"/>
    </x:row>
    <x:row r="99">
      <x:c r="A99" s="37"/>
      <x:c r="B99" s="59" t="str">
        <x:f>IF(C99="","","EXP-"&amp;TEXT(C99,"yymmdd")&amp;"-"&amp;TEXT(ROW()-5,"0000"))</x:f>
      </x:c>
      <x:c r="C99" s="42"/>
      <x:c r="D99" s="37"/>
      <x:c r="E99" s="37"/>
      <x:c r="F99" s="37"/>
      <x:c r="G99" s="37"/>
      <x:c r="H99" s="44"/>
      <x:c r="I99" s="44"/>
      <x:c r="J99" s="76" t="str">
        <x:f>IF(H99="","",MAX(0,H99+I99))</x:f>
      </x:c>
      <x:c r="K99" s="44"/>
      <x:c r="L99" s="76" t="str">
        <x:f>IF(J99="","",MAX(0,J99-K99))</x:f>
      </x:c>
      <x:c r="M99" s="37"/>
      <x:c r="N99" s="42"/>
      <x:c r="O99" s="59" t="str">
        <x:f>IF(J99="","",IF(L99&lt;=0,"Paid",IF(K99&gt;0,"Partial",IF(AND(N99&lt;&gt;"",N99&lt;TODAY()),"Overdue","Unpaid"))))</x:f>
      </x:c>
      <x:c r="P99" s="37"/>
      <x:c r="Q99" s="37"/>
      <x:c r="R99" s="42"/>
      <x:c r="S99" s="37"/>
    </x:row>
    <x:row r="100">
      <x:c r="A100" s="37"/>
      <x:c r="B100" s="59" t="str">
        <x:f>IF(C100="","","EXP-"&amp;TEXT(C100,"yymmdd")&amp;"-"&amp;TEXT(ROW()-5,"0000"))</x:f>
      </x:c>
      <x:c r="C100" s="42"/>
      <x:c r="D100" s="37"/>
      <x:c r="E100" s="37"/>
      <x:c r="F100" s="37"/>
      <x:c r="G100" s="37"/>
      <x:c r="H100" s="44"/>
      <x:c r="I100" s="44"/>
      <x:c r="J100" s="76" t="str">
        <x:f>IF(H100="","",MAX(0,H100+I100))</x:f>
      </x:c>
      <x:c r="K100" s="44"/>
      <x:c r="L100" s="76" t="str">
        <x:f>IF(J100="","",MAX(0,J100-K100))</x:f>
      </x:c>
      <x:c r="M100" s="37"/>
      <x:c r="N100" s="42"/>
      <x:c r="O100" s="59" t="str">
        <x:f>IF(J100="","",IF(L100&lt;=0,"Paid",IF(K100&gt;0,"Partial",IF(AND(N100&lt;&gt;"",N100&lt;TODAY()),"Overdue","Unpaid"))))</x:f>
      </x:c>
      <x:c r="P100" s="37"/>
      <x:c r="Q100" s="37"/>
      <x:c r="R100" s="42"/>
      <x:c r="S100" s="37"/>
    </x:row>
    <x:row r="101">
      <x:c r="A101" s="37"/>
      <x:c r="B101" s="59" t="str">
        <x:f>IF(C101="","","EXP-"&amp;TEXT(C101,"yymmdd")&amp;"-"&amp;TEXT(ROW()-5,"0000"))</x:f>
      </x:c>
      <x:c r="C101" s="42"/>
      <x:c r="D101" s="37"/>
      <x:c r="E101" s="37"/>
      <x:c r="F101" s="37"/>
      <x:c r="G101" s="37"/>
      <x:c r="H101" s="44"/>
      <x:c r="I101" s="44"/>
      <x:c r="J101" s="76" t="str">
        <x:f>IF(H101="","",MAX(0,H101+I101))</x:f>
      </x:c>
      <x:c r="K101" s="44"/>
      <x:c r="L101" s="76" t="str">
        <x:f>IF(J101="","",MAX(0,J101-K101))</x:f>
      </x:c>
      <x:c r="M101" s="37"/>
      <x:c r="N101" s="42"/>
      <x:c r="O101" s="59" t="str">
        <x:f>IF(J101="","",IF(L101&lt;=0,"Paid",IF(K101&gt;0,"Partial",IF(AND(N101&lt;&gt;"",N101&lt;TODAY()),"Overdue","Unpaid"))))</x:f>
      </x:c>
      <x:c r="P101" s="37"/>
      <x:c r="Q101" s="37"/>
      <x:c r="R101" s="42"/>
      <x:c r="S101" s="37"/>
    </x:row>
    <x:row r="102">
      <x:c r="A102" s="37"/>
      <x:c r="B102" s="59" t="str">
        <x:f>IF(C102="","","EXP-"&amp;TEXT(C102,"yymmdd")&amp;"-"&amp;TEXT(ROW()-5,"0000"))</x:f>
      </x:c>
      <x:c r="C102" s="42"/>
      <x:c r="D102" s="37"/>
      <x:c r="E102" s="37"/>
      <x:c r="F102" s="37"/>
      <x:c r="G102" s="37"/>
      <x:c r="H102" s="44"/>
      <x:c r="I102" s="44"/>
      <x:c r="J102" s="76" t="str">
        <x:f>IF(H102="","",MAX(0,H102+I102))</x:f>
      </x:c>
      <x:c r="K102" s="44"/>
      <x:c r="L102" s="76" t="str">
        <x:f>IF(J102="","",MAX(0,J102-K102))</x:f>
      </x:c>
      <x:c r="M102" s="37"/>
      <x:c r="N102" s="42"/>
      <x:c r="O102" s="59" t="str">
        <x:f>IF(J102="","",IF(L102&lt;=0,"Paid",IF(K102&gt;0,"Partial",IF(AND(N102&lt;&gt;"",N102&lt;TODAY()),"Overdue","Unpaid"))))</x:f>
      </x:c>
      <x:c r="P102" s="37"/>
      <x:c r="Q102" s="37"/>
      <x:c r="R102" s="42"/>
      <x:c r="S102" s="37"/>
    </x:row>
    <x:row r="103">
      <x:c r="A103" s="37"/>
      <x:c r="B103" s="59" t="str">
        <x:f>IF(C103="","","EXP-"&amp;TEXT(C103,"yymmdd")&amp;"-"&amp;TEXT(ROW()-5,"0000"))</x:f>
      </x:c>
      <x:c r="C103" s="42"/>
      <x:c r="D103" s="37"/>
      <x:c r="E103" s="37"/>
      <x:c r="F103" s="37"/>
      <x:c r="G103" s="37"/>
      <x:c r="H103" s="44"/>
      <x:c r="I103" s="44"/>
      <x:c r="J103" s="76" t="str">
        <x:f>IF(H103="","",MAX(0,H103+I103))</x:f>
      </x:c>
      <x:c r="K103" s="44"/>
      <x:c r="L103" s="76" t="str">
        <x:f>IF(J103="","",MAX(0,J103-K103))</x:f>
      </x:c>
      <x:c r="M103" s="37"/>
      <x:c r="N103" s="42"/>
      <x:c r="O103" s="59" t="str">
        <x:f>IF(J103="","",IF(L103&lt;=0,"Paid",IF(K103&gt;0,"Partial",IF(AND(N103&lt;&gt;"",N103&lt;TODAY()),"Overdue","Unpaid"))))</x:f>
      </x:c>
      <x:c r="P103" s="37"/>
      <x:c r="Q103" s="37"/>
      <x:c r="R103" s="42"/>
      <x:c r="S103" s="37"/>
    </x:row>
    <x:row r="104">
      <x:c r="A104" s="37"/>
      <x:c r="B104" s="59" t="str">
        <x:f>IF(C104="","","EXP-"&amp;TEXT(C104,"yymmdd")&amp;"-"&amp;TEXT(ROW()-5,"0000"))</x:f>
      </x:c>
      <x:c r="C104" s="42"/>
      <x:c r="D104" s="37"/>
      <x:c r="E104" s="37"/>
      <x:c r="F104" s="37"/>
      <x:c r="G104" s="37"/>
      <x:c r="H104" s="44"/>
      <x:c r="I104" s="44"/>
      <x:c r="J104" s="76" t="str">
        <x:f>IF(H104="","",MAX(0,H104+I104))</x:f>
      </x:c>
      <x:c r="K104" s="44"/>
      <x:c r="L104" s="76" t="str">
        <x:f>IF(J104="","",MAX(0,J104-K104))</x:f>
      </x:c>
      <x:c r="M104" s="37"/>
      <x:c r="N104" s="42"/>
      <x:c r="O104" s="59" t="str">
        <x:f>IF(J104="","",IF(L104&lt;=0,"Paid",IF(K104&gt;0,"Partial",IF(AND(N104&lt;&gt;"",N104&lt;TODAY()),"Overdue","Unpaid"))))</x:f>
      </x:c>
      <x:c r="P104" s="37"/>
      <x:c r="Q104" s="37"/>
      <x:c r="R104" s="42"/>
      <x:c r="S104" s="37"/>
    </x:row>
    <x:row r="105">
      <x:c r="A105" s="37"/>
      <x:c r="B105" s="59" t="str">
        <x:f>IF(C105="","","EXP-"&amp;TEXT(C105,"yymmdd")&amp;"-"&amp;TEXT(ROW()-5,"0000"))</x:f>
      </x:c>
      <x:c r="C105" s="42"/>
      <x:c r="D105" s="37"/>
      <x:c r="E105" s="37"/>
      <x:c r="F105" s="37"/>
      <x:c r="G105" s="37"/>
      <x:c r="H105" s="44"/>
      <x:c r="I105" s="44"/>
      <x:c r="J105" s="76" t="str">
        <x:f>IF(H105="","",MAX(0,H105+I105))</x:f>
      </x:c>
      <x:c r="K105" s="44"/>
      <x:c r="L105" s="76" t="str">
        <x:f>IF(J105="","",MAX(0,J105-K105))</x:f>
      </x:c>
      <x:c r="M105" s="37"/>
      <x:c r="N105" s="42"/>
      <x:c r="O105" s="59" t="str">
        <x:f>IF(J105="","",IF(L105&lt;=0,"Paid",IF(K105&gt;0,"Partial",IF(AND(N105&lt;&gt;"",N105&lt;TODAY()),"Overdue","Unpaid"))))</x:f>
      </x:c>
      <x:c r="P105" s="37"/>
      <x:c r="Q105" s="37"/>
      <x:c r="R105" s="42"/>
      <x:c r="S105" s="37"/>
    </x:row>
  </x:sheetData>
  <x:mergeCells>
    <x:mergeCell ref="A1:S1"/>
    <x:mergeCell ref="A2:S2"/>
    <x:mergeCell ref="A4:S4"/>
  </x:mergeCells>
  <x:conditionalFormatting sqref="O6:O105">
    <x:cfRule type="expression" dxfId="3" priority="1">
      <x:formula>$O6="Overdue"</x:formula>
    </x:cfRule>
  </x:conditionalFormatting>
  <x:dataValidations count="6">
    <x:dataValidation type="list" sqref="A6:A105">
      <x:formula1>99_SETTINGS!$D$19:$D$20</x:formula1>
    </x:dataValidation>
    <x:dataValidation type="list" sqref="D6:D105">
      <x:formula1>99_SETTINGS!$D$5:$D$8</x:formula1>
    </x:dataValidation>
    <x:dataValidation type="list" sqref="E6:E105">
      <x:formula1>99_SETTINGS!$J$5:$J$19</x:formula1>
    </x:dataValidation>
    <x:dataValidation type="list" sqref="M6:M105">
      <x:formula1>99_SETTINGS!$K$5:$K$11</x:formula1>
    </x:dataValidation>
    <x:dataValidation type="list" sqref="P6:P105">
      <x:formula1>99_SETTINGS!$L$19:$L$20</x:formula1>
    </x:dataValidation>
    <x:dataValidation type="list" sqref="Q6:Q105">
      <x:formula1>99_SETTINGS!$M$5:$M$6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7b6377a41644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3" hidden="0" customWidth="1"/>
    <x:col min="4" max="4" width="24" hidden="0" customWidth="1"/>
    <x:col min="5" max="5" width="16" hidden="0" customWidth="1"/>
    <x:col min="6" max="6" width="20" hidden="0" customWidth="1"/>
    <x:col min="7" max="7" width="18" hidden="0" customWidth="1"/>
    <x:col min="8" max="8" width="24" hidden="0" customWidth="1"/>
    <x:col min="9" max="9" width="22" hidden="0" customWidth="1"/>
    <x:col min="10" max="10" width="17" hidden="0" customWidth="1"/>
    <x:col min="11" max="11" width="13" hidden="0" customWidth="1"/>
    <x:col min="12" max="12" width="18" hidden="0" customWidth="1"/>
    <x:col min="13" max="13" width="16" hidden="0" customWidth="1"/>
    <x:col min="14" max="14" width="24" hidden="0" customWidth="1"/>
    <x:col min="15" max="15" width="13" hidden="0" customWidth="1"/>
    <x:col min="16" max="16" width="32" hidden="0" customWidth="1"/>
  </x:cols>
  <x:sheetData>
    <x:row r="1" ht="34" customHeight="1">
      <x:c r="A1" s="4" t="str">
        <x:v>LEADS, TRIALS &amp; CONVERSION PIPELINE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6" customHeight="1">
      <x:c r="A2" s="10" t="str">
        <x:v>Track every enquiry through trial, conversion or loss.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>
      <x:c r="A4" s="53" t="str">
        <x:v>Yellow = staff input | Grey/green = automatic calculation | Demo rows can be replaced with real data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 ht="34" customHeight="1">
      <x:c r="A5" s="18" t="str">
        <x:v>Record Type</x:v>
      </x:c>
      <x:c r="B5" s="18" t="str">
        <x:v>Lead ID</x:v>
      </x:c>
      <x:c r="C5" s="18" t="str">
        <x:v>Enquiry Date</x:v>
      </x:c>
      <x:c r="D5" s="18" t="str">
        <x:v>Lead Name</x:v>
      </x:c>
      <x:c r="E5" s="18" t="str">
        <x:v>Phone</x:v>
      </x:c>
      <x:c r="F5" s="18" t="str">
        <x:v>Source</x:v>
      </x:c>
      <x:c r="G5" s="18" t="str">
        <x:v>Branch</x:v>
      </x:c>
      <x:c r="H5" s="18" t="str">
        <x:v>Interested Service</x:v>
      </x:c>
      <x:c r="I5" s="18" t="str">
        <x:v>Assigned To</x:v>
      </x:c>
      <x:c r="J5" s="18" t="str">
        <x:v>Status</x:v>
      </x:c>
      <x:c r="K5" s="18" t="str">
        <x:v>Trial Date</x:v>
      </x:c>
      <x:c r="L5" s="18" t="str">
        <x:v>Converted Member ID</x:v>
      </x:c>
      <x:c r="M5" s="18" t="str">
        <x:v>Expected Value</x:v>
      </x:c>
      <x:c r="N5" s="18" t="str">
        <x:v>Lost Reason</x:v>
      </x:c>
      <x:c r="O5" s="18" t="str">
        <x:v>Follow-up Date</x:v>
      </x:c>
      <x:c r="P5" s="18" t="str">
        <x:v>Notes</x:v>
      </x:c>
    </x:row>
    <x:row r="6">
      <x:c r="A6" s="37" t="str">
        <x:v>DEMO</x:v>
      </x:c>
      <x:c r="B6" s="59" t="str">
        <x:f>IF(C6="","","LEAD-"&amp;TEXT(C6,"yymmdd")&amp;"-"&amp;TEXT(ROW()-5,"0000"))</x:f>
        <x:v>LEAD-260103-0001</x:v>
      </x:c>
      <x:c r="C6" s="42" t="n">
        <x:v>46025</x:v>
      </x:c>
      <x:c r="D6" s="37" t="str">
        <x:v>Lead 1</x:v>
      </x:c>
      <x:c r="E6" s="37" t="str">
        <x:v>9700000000</x:v>
      </x:c>
      <x:c r="F6" s="37" t="str">
        <x:v>Instagram</x:v>
      </x:c>
      <x:c r="G6" s="37" t="str">
        <x:v>Main Studio</x:v>
      </x:c>
      <x:c r="H6" s="37" t="str">
        <x:v>Reformer Beginner</x:v>
      </x:c>
      <x:c r="I6" s="37" t="str">
        <x:v>Nisha Rai</x:v>
      </x:c>
      <x:c r="J6" s="37" t="str">
        <x:v>Converted</x:v>
      </x:c>
      <x:c r="K6" s="42" t="n">
        <x:v>46028</x:v>
      </x:c>
      <x:c r="L6" s="37" t="str">
        <x:v>MBR-0001</x:v>
      </x:c>
      <x:c r="M6" s="44" t="n">
        <x:v>16000</x:v>
      </x:c>
      <x:c r="N6" s="37" t="str"/>
      <x:c r="O6" s="42" t="n">
        <x:v>46032</x:v>
      </x:c>
      <x:c r="P6" s="37" t="str">
        <x:v>Demo lead</x:v>
      </x:c>
    </x:row>
    <x:row r="7">
      <x:c r="A7" s="37" t="str">
        <x:v>DEMO</x:v>
      </x:c>
      <x:c r="B7" s="59" t="str">
        <x:f>IF(C7="","","LEAD-"&amp;TEXT(C7,"yymmdd")&amp;"-"&amp;TEXT(ROW()-5,"0000"))</x:f>
        <x:v>LEAD-260108-0002</x:v>
      </x:c>
      <x:c r="C7" s="42" t="n">
        <x:v>46030</x:v>
      </x:c>
      <x:c r="D7" s="37" t="str">
        <x:v>Lead 2</x:v>
      </x:c>
      <x:c r="E7" s="37" t="str">
        <x:v>9700000001</x:v>
      </x:c>
      <x:c r="F7" s="37" t="str">
        <x:v>Referral</x:v>
      </x:c>
      <x:c r="G7" s="37" t="str">
        <x:v>Main Studio</x:v>
      </x:c>
      <x:c r="H7" s="37" t="str">
        <x:v>Mat Pilates</x:v>
      </x:c>
      <x:c r="I7" s="37" t="str">
        <x:v>Nisha Rai</x:v>
      </x:c>
      <x:c r="J7" s="37" t="str">
        <x:v>Converted</x:v>
      </x:c>
      <x:c r="K7" s="42" t="n">
        <x:v>46033</x:v>
      </x:c>
      <x:c r="L7" s="37" t="str">
        <x:v>MBR-0002</x:v>
      </x:c>
      <x:c r="M7" s="44" t="n">
        <x:v>16000</x:v>
      </x:c>
      <x:c r="N7" s="37" t="str"/>
      <x:c r="O7" s="42" t="n">
        <x:v>46037</x:v>
      </x:c>
      <x:c r="P7" s="37" t="str">
        <x:v>Demo lead</x:v>
      </x:c>
    </x:row>
    <x:row r="8">
      <x:c r="A8" s="37" t="str">
        <x:v>DEMO</x:v>
      </x:c>
      <x:c r="B8" s="59" t="str">
        <x:f>IF(C8="","","LEAD-"&amp;TEXT(C8,"yymmdd")&amp;"-"&amp;TEXT(ROW()-5,"0000"))</x:f>
        <x:v>LEAD-260113-0003</x:v>
      </x:c>
      <x:c r="C8" s="42" t="n">
        <x:v>46035</x:v>
      </x:c>
      <x:c r="D8" s="37" t="str">
        <x:v>Lead 3</x:v>
      </x:c>
      <x:c r="E8" s="37" t="str">
        <x:v>9700000002</x:v>
      </x:c>
      <x:c r="F8" s="37" t="str">
        <x:v>Google Search</x:v>
      </x:c>
      <x:c r="G8" s="37" t="str">
        <x:v>Main Studio</x:v>
      </x:c>
      <x:c r="H8" s="37" t="str">
        <x:v>Private Session</x:v>
      </x:c>
      <x:c r="I8" s="37" t="str">
        <x:v>Nisha Rai</x:v>
      </x:c>
      <x:c r="J8" s="37" t="str">
        <x:v>Trial Completed</x:v>
      </x:c>
      <x:c r="K8" s="42" t="n">
        <x:v>46038</x:v>
      </x:c>
      <x:c r="L8" s="37" t="str"/>
      <x:c r="M8" s="44" t="n">
        <x:v>16000</x:v>
      </x:c>
      <x:c r="N8" s="37" t="str"/>
      <x:c r="O8" s="42" t="n">
        <x:v>46042</x:v>
      </x:c>
      <x:c r="P8" s="37" t="str">
        <x:v>Demo lead</x:v>
      </x:c>
    </x:row>
    <x:row r="9">
      <x:c r="A9" s="37" t="str">
        <x:v>DEMO</x:v>
      </x:c>
      <x:c r="B9" s="59" t="str">
        <x:f>IF(C9="","","LEAD-"&amp;TEXT(C9,"yymmdd")&amp;"-"&amp;TEXT(ROW()-5,"0000"))</x:f>
        <x:v>LEAD-260118-0004</x:v>
      </x:c>
      <x:c r="C9" s="42" t="n">
        <x:v>46040</x:v>
      </x:c>
      <x:c r="D9" s="37" t="str">
        <x:v>Lead 4</x:v>
      </x:c>
      <x:c r="E9" s="37" t="str">
        <x:v>9700000003</x:v>
      </x:c>
      <x:c r="F9" s="37" t="str">
        <x:v>Walk-in</x:v>
      </x:c>
      <x:c r="G9" s="37" t="str">
        <x:v>Main Studio</x:v>
      </x:c>
      <x:c r="H9" s="37" t="str">
        <x:v>Reformer Beginner</x:v>
      </x:c>
      <x:c r="I9" s="37" t="str">
        <x:v>Nisha Rai</x:v>
      </x:c>
      <x:c r="J9" s="37" t="str">
        <x:v>Trial Booked</x:v>
      </x:c>
      <x:c r="K9" s="42" t="n">
        <x:v>46043</x:v>
      </x:c>
      <x:c r="L9" s="37" t="str"/>
      <x:c r="M9" s="44" t="n">
        <x:v>16000</x:v>
      </x:c>
      <x:c r="N9" s="37" t="str"/>
      <x:c r="O9" s="42" t="n">
        <x:v>46047</x:v>
      </x:c>
      <x:c r="P9" s="37" t="str">
        <x:v>Demo lead</x:v>
      </x:c>
    </x:row>
    <x:row r="10">
      <x:c r="A10" s="37" t="str">
        <x:v>DEMO</x:v>
      </x:c>
      <x:c r="B10" s="59" t="str">
        <x:f>IF(C10="","","LEAD-"&amp;TEXT(C10,"yymmdd")&amp;"-"&amp;TEXT(ROW()-5,"0000"))</x:f>
        <x:v>LEAD-260123-0005</x:v>
      </x:c>
      <x:c r="C10" s="42" t="n">
        <x:v>46045</x:v>
      </x:c>
      <x:c r="D10" s="37" t="str">
        <x:v>Lead 5</x:v>
      </x:c>
      <x:c r="E10" s="37" t="str">
        <x:v>9700000004</x:v>
      </x:c>
      <x:c r="F10" s="37" t="str">
        <x:v>Instagram</x:v>
      </x:c>
      <x:c r="G10" s="37" t="str">
        <x:v>Main Studio</x:v>
      </x:c>
      <x:c r="H10" s="37" t="str">
        <x:v>Mat Pilates</x:v>
      </x:c>
      <x:c r="I10" s="37" t="str">
        <x:v>Nisha Rai</x:v>
      </x:c>
      <x:c r="J10" s="37" t="str">
        <x:v>Follow-up</x:v>
      </x:c>
      <x:c r="K10" s="42" t="n">
        <x:v>46048</x:v>
      </x:c>
      <x:c r="L10" s="37" t="str"/>
      <x:c r="M10" s="44" t="n">
        <x:v>16000</x:v>
      </x:c>
      <x:c r="N10" s="37" t="str"/>
      <x:c r="O10" s="42" t="n">
        <x:v>46052</x:v>
      </x:c>
      <x:c r="P10" s="37" t="str">
        <x:v>Demo lead</x:v>
      </x:c>
    </x:row>
    <x:row r="11">
      <x:c r="A11" s="37" t="str">
        <x:v>DEMO</x:v>
      </x:c>
      <x:c r="B11" s="59" t="str">
        <x:f>IF(C11="","","LEAD-"&amp;TEXT(C11,"yymmdd")&amp;"-"&amp;TEXT(ROW()-5,"0000"))</x:f>
        <x:v>LEAD-260128-0006</x:v>
      </x:c>
      <x:c r="C11" s="42" t="n">
        <x:v>46050</x:v>
      </x:c>
      <x:c r="D11" s="37" t="str">
        <x:v>Lead 6</x:v>
      </x:c>
      <x:c r="E11" s="37" t="str">
        <x:v>9700000005</x:v>
      </x:c>
      <x:c r="F11" s="37" t="str">
        <x:v>Referral</x:v>
      </x:c>
      <x:c r="G11" s="37" t="str">
        <x:v>Main Studio</x:v>
      </x:c>
      <x:c r="H11" s="37" t="str">
        <x:v>Private Session</x:v>
      </x:c>
      <x:c r="I11" s="37" t="str">
        <x:v>Nisha Rai</x:v>
      </x:c>
      <x:c r="J11" s="37" t="str">
        <x:v>Lost</x:v>
      </x:c>
      <x:c r="K11" s="42" t="n">
        <x:v>46053</x:v>
      </x:c>
      <x:c r="L11" s="37" t="str"/>
      <x:c r="M11" s="44" t="n">
        <x:v>16000</x:v>
      </x:c>
      <x:c r="N11" s="37" t="str">
        <x:v>Price</x:v>
      </x:c>
      <x:c r="O11" s="42" t="n">
        <x:v>46057</x:v>
      </x:c>
      <x:c r="P11" s="37" t="str">
        <x:v>Demo lead</x:v>
      </x:c>
    </x:row>
    <x:row r="12">
      <x:c r="A12" s="37" t="str">
        <x:v>DEMO</x:v>
      </x:c>
      <x:c r="B12" s="59" t="str">
        <x:f>IF(C12="","","LEAD-"&amp;TEXT(C12,"yymmdd")&amp;"-"&amp;TEXT(ROW()-5,"0000"))</x:f>
        <x:v>LEAD-260202-0007</x:v>
      </x:c>
      <x:c r="C12" s="42" t="n">
        <x:v>46055</x:v>
      </x:c>
      <x:c r="D12" s="37" t="str">
        <x:v>Lead 7</x:v>
      </x:c>
      <x:c r="E12" s="37" t="str">
        <x:v>9700000006</x:v>
      </x:c>
      <x:c r="F12" s="37" t="str">
        <x:v>Google Search</x:v>
      </x:c>
      <x:c r="G12" s="37" t="str">
        <x:v>Main Studio</x:v>
      </x:c>
      <x:c r="H12" s="37" t="str">
        <x:v>Reformer Beginner</x:v>
      </x:c>
      <x:c r="I12" s="37" t="str">
        <x:v>Nisha Rai</x:v>
      </x:c>
      <x:c r="J12" s="37" t="str">
        <x:v>Converted</x:v>
      </x:c>
      <x:c r="K12" s="42" t="n">
        <x:v>46058</x:v>
      </x:c>
      <x:c r="L12" s="37" t="str">
        <x:v>MBR-0007</x:v>
      </x:c>
      <x:c r="M12" s="44" t="n">
        <x:v>16000</x:v>
      </x:c>
      <x:c r="N12" s="37" t="str"/>
      <x:c r="O12" s="42" t="n">
        <x:v>46062</x:v>
      </x:c>
      <x:c r="P12" s="37" t="str">
        <x:v>Demo lead</x:v>
      </x:c>
    </x:row>
    <x:row r="13">
      <x:c r="A13" s="37" t="str">
        <x:v>DEMO</x:v>
      </x:c>
      <x:c r="B13" s="59" t="str">
        <x:f>IF(C13="","","LEAD-"&amp;TEXT(C13,"yymmdd")&amp;"-"&amp;TEXT(ROW()-5,"0000"))</x:f>
        <x:v>LEAD-260207-0008</x:v>
      </x:c>
      <x:c r="C13" s="42" t="n">
        <x:v>46060</x:v>
      </x:c>
      <x:c r="D13" s="37" t="str">
        <x:v>Lead 8</x:v>
      </x:c>
      <x:c r="E13" s="37" t="str">
        <x:v>9700000007</x:v>
      </x:c>
      <x:c r="F13" s="37" t="str">
        <x:v>Walk-in</x:v>
      </x:c>
      <x:c r="G13" s="37" t="str">
        <x:v>Main Studio</x:v>
      </x:c>
      <x:c r="H13" s="37" t="str">
        <x:v>Mat Pilates</x:v>
      </x:c>
      <x:c r="I13" s="37" t="str">
        <x:v>Nisha Rai</x:v>
      </x:c>
      <x:c r="J13" s="37" t="str">
        <x:v>Converted</x:v>
      </x:c>
      <x:c r="K13" s="42" t="n">
        <x:v>46063</x:v>
      </x:c>
      <x:c r="L13" s="37" t="str">
        <x:v>MBR-0008</x:v>
      </x:c>
      <x:c r="M13" s="44" t="n">
        <x:v>16000</x:v>
      </x:c>
      <x:c r="N13" s="37" t="str"/>
      <x:c r="O13" s="42" t="n">
        <x:v>46067</x:v>
      </x:c>
      <x:c r="P13" s="37" t="str">
        <x:v>Demo lead</x:v>
      </x:c>
    </x:row>
    <x:row r="14">
      <x:c r="A14" s="37" t="str">
        <x:v>DEMO</x:v>
      </x:c>
      <x:c r="B14" s="59" t="str">
        <x:f>IF(C14="","","LEAD-"&amp;TEXT(C14,"yymmdd")&amp;"-"&amp;TEXT(ROW()-5,"0000"))</x:f>
        <x:v>LEAD-260212-0009</x:v>
      </x:c>
      <x:c r="C14" s="42" t="n">
        <x:v>46065</x:v>
      </x:c>
      <x:c r="D14" s="37" t="str">
        <x:v>Lead 9</x:v>
      </x:c>
      <x:c r="E14" s="37" t="str">
        <x:v>9700000008</x:v>
      </x:c>
      <x:c r="F14" s="37" t="str">
        <x:v>Instagram</x:v>
      </x:c>
      <x:c r="G14" s="37" t="str">
        <x:v>Main Studio</x:v>
      </x:c>
      <x:c r="H14" s="37" t="str">
        <x:v>Private Session</x:v>
      </x:c>
      <x:c r="I14" s="37" t="str">
        <x:v>Nisha Rai</x:v>
      </x:c>
      <x:c r="J14" s="37" t="str">
        <x:v>Trial Completed</x:v>
      </x:c>
      <x:c r="K14" s="42" t="n">
        <x:v>46068</x:v>
      </x:c>
      <x:c r="L14" s="37" t="str"/>
      <x:c r="M14" s="44" t="n">
        <x:v>16000</x:v>
      </x:c>
      <x:c r="N14" s="37" t="str"/>
      <x:c r="O14" s="42" t="n">
        <x:v>46072</x:v>
      </x:c>
      <x:c r="P14" s="37" t="str">
        <x:v>Demo lead</x:v>
      </x:c>
    </x:row>
    <x:row r="15">
      <x:c r="A15" s="37" t="str">
        <x:v>DEMO</x:v>
      </x:c>
      <x:c r="B15" s="59" t="str">
        <x:f>IF(C15="","","LEAD-"&amp;TEXT(C15,"yymmdd")&amp;"-"&amp;TEXT(ROW()-5,"0000"))</x:f>
        <x:v>LEAD-260217-0010</x:v>
      </x:c>
      <x:c r="C15" s="42" t="n">
        <x:v>46070</x:v>
      </x:c>
      <x:c r="D15" s="37" t="str">
        <x:v>Lead 10</x:v>
      </x:c>
      <x:c r="E15" s="37" t="str">
        <x:v>9700000009</x:v>
      </x:c>
      <x:c r="F15" s="37" t="str">
        <x:v>Referral</x:v>
      </x:c>
      <x:c r="G15" s="37" t="str">
        <x:v>Main Studio</x:v>
      </x:c>
      <x:c r="H15" s="37" t="str">
        <x:v>Reformer Beginner</x:v>
      </x:c>
      <x:c r="I15" s="37" t="str">
        <x:v>Nisha Rai</x:v>
      </x:c>
      <x:c r="J15" s="37" t="str">
        <x:v>Trial Booked</x:v>
      </x:c>
      <x:c r="K15" s="42" t="n">
        <x:v>46073</x:v>
      </x:c>
      <x:c r="L15" s="37" t="str"/>
      <x:c r="M15" s="44" t="n">
        <x:v>16000</x:v>
      </x:c>
      <x:c r="N15" s="37" t="str"/>
      <x:c r="O15" s="42" t="n">
        <x:v>46077</x:v>
      </x:c>
      <x:c r="P15" s="37" t="str">
        <x:v>Demo lead</x:v>
      </x:c>
    </x:row>
    <x:row r="16">
      <x:c r="A16" s="37" t="str">
        <x:v>DEMO</x:v>
      </x:c>
      <x:c r="B16" s="59" t="str">
        <x:f>IF(C16="","","LEAD-"&amp;TEXT(C16,"yymmdd")&amp;"-"&amp;TEXT(ROW()-5,"0000"))</x:f>
        <x:v>LEAD-260222-0011</x:v>
      </x:c>
      <x:c r="C16" s="42" t="n">
        <x:v>46075</x:v>
      </x:c>
      <x:c r="D16" s="37" t="str">
        <x:v>Lead 11</x:v>
      </x:c>
      <x:c r="E16" s="37" t="str">
        <x:v>9700000010</x:v>
      </x:c>
      <x:c r="F16" s="37" t="str">
        <x:v>Google Search</x:v>
      </x:c>
      <x:c r="G16" s="37" t="str">
        <x:v>Main Studio</x:v>
      </x:c>
      <x:c r="H16" s="37" t="str">
        <x:v>Mat Pilates</x:v>
      </x:c>
      <x:c r="I16" s="37" t="str">
        <x:v>Nisha Rai</x:v>
      </x:c>
      <x:c r="J16" s="37" t="str">
        <x:v>Follow-up</x:v>
      </x:c>
      <x:c r="K16" s="42" t="n">
        <x:v>46078</x:v>
      </x:c>
      <x:c r="L16" s="37" t="str"/>
      <x:c r="M16" s="44" t="n">
        <x:v>16000</x:v>
      </x:c>
      <x:c r="N16" s="37" t="str"/>
      <x:c r="O16" s="42" t="n">
        <x:v>46082</x:v>
      </x:c>
      <x:c r="P16" s="37" t="str">
        <x:v>Demo lead</x:v>
      </x:c>
    </x:row>
    <x:row r="17">
      <x:c r="A17" s="37" t="str">
        <x:v>DEMO</x:v>
      </x:c>
      <x:c r="B17" s="59" t="str">
        <x:f>IF(C17="","","LEAD-"&amp;TEXT(C17,"yymmdd")&amp;"-"&amp;TEXT(ROW()-5,"0000"))</x:f>
        <x:v>LEAD-260227-0012</x:v>
      </x:c>
      <x:c r="C17" s="42" t="n">
        <x:v>46080</x:v>
      </x:c>
      <x:c r="D17" s="37" t="str">
        <x:v>Lead 12</x:v>
      </x:c>
      <x:c r="E17" s="37" t="str">
        <x:v>9700000011</x:v>
      </x:c>
      <x:c r="F17" s="37" t="str">
        <x:v>Walk-in</x:v>
      </x:c>
      <x:c r="G17" s="37" t="str">
        <x:v>Main Studio</x:v>
      </x:c>
      <x:c r="H17" s="37" t="str">
        <x:v>Private Session</x:v>
      </x:c>
      <x:c r="I17" s="37" t="str">
        <x:v>Nisha Rai</x:v>
      </x:c>
      <x:c r="J17" s="37" t="str">
        <x:v>Lost</x:v>
      </x:c>
      <x:c r="K17" s="42" t="n">
        <x:v>46083</x:v>
      </x:c>
      <x:c r="L17" s="37" t="str"/>
      <x:c r="M17" s="44" t="n">
        <x:v>16000</x:v>
      </x:c>
      <x:c r="N17" s="37" t="str">
        <x:v>Price</x:v>
      </x:c>
      <x:c r="O17" s="42" t="n">
        <x:v>46087</x:v>
      </x:c>
      <x:c r="P17" s="37" t="str">
        <x:v>Demo lead</x:v>
      </x:c>
    </x:row>
    <x:row r="18">
      <x:c r="A18" s="37" t="str">
        <x:v>DEMO</x:v>
      </x:c>
      <x:c r="B18" s="59" t="str">
        <x:f>IF(C18="","","LEAD-"&amp;TEXT(C18,"yymmdd")&amp;"-"&amp;TEXT(ROW()-5,"0000"))</x:f>
        <x:v>LEAD-260304-0013</x:v>
      </x:c>
      <x:c r="C18" s="42" t="n">
        <x:v>46085</x:v>
      </x:c>
      <x:c r="D18" s="37" t="str">
        <x:v>Lead 13</x:v>
      </x:c>
      <x:c r="E18" s="37" t="str">
        <x:v>9700000012</x:v>
      </x:c>
      <x:c r="F18" s="37" t="str">
        <x:v>Instagram</x:v>
      </x:c>
      <x:c r="G18" s="37" t="str">
        <x:v>Main Studio</x:v>
      </x:c>
      <x:c r="H18" s="37" t="str">
        <x:v>Reformer Beginner</x:v>
      </x:c>
      <x:c r="I18" s="37" t="str">
        <x:v>Nisha Rai</x:v>
      </x:c>
      <x:c r="J18" s="37" t="str">
        <x:v>Converted</x:v>
      </x:c>
      <x:c r="K18" s="42" t="n">
        <x:v>46088</x:v>
      </x:c>
      <x:c r="L18" s="37" t="str">
        <x:v>MBR-0001</x:v>
      </x:c>
      <x:c r="M18" s="44" t="n">
        <x:v>16000</x:v>
      </x:c>
      <x:c r="N18" s="37" t="str"/>
      <x:c r="O18" s="42" t="n">
        <x:v>46092</x:v>
      </x:c>
      <x:c r="P18" s="37" t="str">
        <x:v>Demo lead</x:v>
      </x:c>
    </x:row>
    <x:row r="19">
      <x:c r="A19" s="37" t="str">
        <x:v>DEMO</x:v>
      </x:c>
      <x:c r="B19" s="59" t="str">
        <x:f>IF(C19="","","LEAD-"&amp;TEXT(C19,"yymmdd")&amp;"-"&amp;TEXT(ROW()-5,"0000"))</x:f>
        <x:v>LEAD-260309-0014</x:v>
      </x:c>
      <x:c r="C19" s="42" t="n">
        <x:v>46090</x:v>
      </x:c>
      <x:c r="D19" s="37" t="str">
        <x:v>Lead 14</x:v>
      </x:c>
      <x:c r="E19" s="37" t="str">
        <x:v>9700000013</x:v>
      </x:c>
      <x:c r="F19" s="37" t="str">
        <x:v>Referral</x:v>
      </x:c>
      <x:c r="G19" s="37" t="str">
        <x:v>Main Studio</x:v>
      </x:c>
      <x:c r="H19" s="37" t="str">
        <x:v>Mat Pilates</x:v>
      </x:c>
      <x:c r="I19" s="37" t="str">
        <x:v>Nisha Rai</x:v>
      </x:c>
      <x:c r="J19" s="37" t="str">
        <x:v>Converted</x:v>
      </x:c>
      <x:c r="K19" s="42" t="n">
        <x:v>46093</x:v>
      </x:c>
      <x:c r="L19" s="37" t="str">
        <x:v>MBR-0002</x:v>
      </x:c>
      <x:c r="M19" s="44" t="n">
        <x:v>16000</x:v>
      </x:c>
      <x:c r="N19" s="37" t="str"/>
      <x:c r="O19" s="42" t="n">
        <x:v>46097</x:v>
      </x:c>
      <x:c r="P19" s="37" t="str">
        <x:v>Demo lead</x:v>
      </x:c>
    </x:row>
    <x:row r="20">
      <x:c r="A20" s="37" t="str">
        <x:v>DEMO</x:v>
      </x:c>
      <x:c r="B20" s="59" t="str">
        <x:f>IF(C20="","","LEAD-"&amp;TEXT(C20,"yymmdd")&amp;"-"&amp;TEXT(ROW()-5,"0000"))</x:f>
        <x:v>LEAD-260314-0015</x:v>
      </x:c>
      <x:c r="C20" s="42" t="n">
        <x:v>46095</x:v>
      </x:c>
      <x:c r="D20" s="37" t="str">
        <x:v>Lead 15</x:v>
      </x:c>
      <x:c r="E20" s="37" t="str">
        <x:v>9700000014</x:v>
      </x:c>
      <x:c r="F20" s="37" t="str">
        <x:v>Google Search</x:v>
      </x:c>
      <x:c r="G20" s="37" t="str">
        <x:v>Main Studio</x:v>
      </x:c>
      <x:c r="H20" s="37" t="str">
        <x:v>Private Session</x:v>
      </x:c>
      <x:c r="I20" s="37" t="str">
        <x:v>Nisha Rai</x:v>
      </x:c>
      <x:c r="J20" s="37" t="str">
        <x:v>Trial Completed</x:v>
      </x:c>
      <x:c r="K20" s="42" t="n">
        <x:v>46098</x:v>
      </x:c>
      <x:c r="L20" s="37" t="str"/>
      <x:c r="M20" s="44" t="n">
        <x:v>16000</x:v>
      </x:c>
      <x:c r="N20" s="37" t="str"/>
      <x:c r="O20" s="42" t="n">
        <x:v>46102</x:v>
      </x:c>
      <x:c r="P20" s="37" t="str">
        <x:v>Demo lead</x:v>
      </x:c>
    </x:row>
    <x:row r="21">
      <x:c r="A21" s="37" t="str">
        <x:v>DEMO</x:v>
      </x:c>
      <x:c r="B21" s="59" t="str">
        <x:f>IF(C21="","","LEAD-"&amp;TEXT(C21,"yymmdd")&amp;"-"&amp;TEXT(ROW()-5,"0000"))</x:f>
        <x:v>LEAD-260319-0016</x:v>
      </x:c>
      <x:c r="C21" s="42" t="n">
        <x:v>46100</x:v>
      </x:c>
      <x:c r="D21" s="37" t="str">
        <x:v>Lead 16</x:v>
      </x:c>
      <x:c r="E21" s="37" t="str">
        <x:v>9700000015</x:v>
      </x:c>
      <x:c r="F21" s="37" t="str">
        <x:v>Walk-in</x:v>
      </x:c>
      <x:c r="G21" s="37" t="str">
        <x:v>Main Studio</x:v>
      </x:c>
      <x:c r="H21" s="37" t="str">
        <x:v>Reformer Beginner</x:v>
      </x:c>
      <x:c r="I21" s="37" t="str">
        <x:v>Nisha Rai</x:v>
      </x:c>
      <x:c r="J21" s="37" t="str">
        <x:v>Trial Booked</x:v>
      </x:c>
      <x:c r="K21" s="42" t="n">
        <x:v>46103</x:v>
      </x:c>
      <x:c r="L21" s="37" t="str"/>
      <x:c r="M21" s="44" t="n">
        <x:v>16000</x:v>
      </x:c>
      <x:c r="N21" s="37" t="str"/>
      <x:c r="O21" s="42" t="n">
        <x:v>46107</x:v>
      </x:c>
      <x:c r="P21" s="37" t="str">
        <x:v>Demo lead</x:v>
      </x:c>
    </x:row>
    <x:row r="22">
      <x:c r="A22" s="37" t="str">
        <x:v>DEMO</x:v>
      </x:c>
      <x:c r="B22" s="59" t="str">
        <x:f>IF(C22="","","LEAD-"&amp;TEXT(C22,"yymmdd")&amp;"-"&amp;TEXT(ROW()-5,"0000"))</x:f>
        <x:v>LEAD-260324-0017</x:v>
      </x:c>
      <x:c r="C22" s="42" t="n">
        <x:v>46105</x:v>
      </x:c>
      <x:c r="D22" s="37" t="str">
        <x:v>Lead 17</x:v>
      </x:c>
      <x:c r="E22" s="37" t="str">
        <x:v>9700000016</x:v>
      </x:c>
      <x:c r="F22" s="37" t="str">
        <x:v>Instagram</x:v>
      </x:c>
      <x:c r="G22" s="37" t="str">
        <x:v>Main Studio</x:v>
      </x:c>
      <x:c r="H22" s="37" t="str">
        <x:v>Mat Pilates</x:v>
      </x:c>
      <x:c r="I22" s="37" t="str">
        <x:v>Nisha Rai</x:v>
      </x:c>
      <x:c r="J22" s="37" t="str">
        <x:v>Follow-up</x:v>
      </x:c>
      <x:c r="K22" s="42" t="n">
        <x:v>46108</x:v>
      </x:c>
      <x:c r="L22" s="37" t="str"/>
      <x:c r="M22" s="44" t="n">
        <x:v>16000</x:v>
      </x:c>
      <x:c r="N22" s="37" t="str"/>
      <x:c r="O22" s="42" t="n">
        <x:v>46112</x:v>
      </x:c>
      <x:c r="P22" s="37" t="str">
        <x:v>Demo lead</x:v>
      </x:c>
    </x:row>
    <x:row r="23">
      <x:c r="A23" s="37" t="str">
        <x:v>DEMO</x:v>
      </x:c>
      <x:c r="B23" s="59" t="str">
        <x:f>IF(C23="","","LEAD-"&amp;TEXT(C23,"yymmdd")&amp;"-"&amp;TEXT(ROW()-5,"0000"))</x:f>
        <x:v>LEAD-260329-0018</x:v>
      </x:c>
      <x:c r="C23" s="42" t="n">
        <x:v>46110</x:v>
      </x:c>
      <x:c r="D23" s="37" t="str">
        <x:v>Lead 18</x:v>
      </x:c>
      <x:c r="E23" s="37" t="str">
        <x:v>9700000017</x:v>
      </x:c>
      <x:c r="F23" s="37" t="str">
        <x:v>Referral</x:v>
      </x:c>
      <x:c r="G23" s="37" t="str">
        <x:v>Main Studio</x:v>
      </x:c>
      <x:c r="H23" s="37" t="str">
        <x:v>Private Session</x:v>
      </x:c>
      <x:c r="I23" s="37" t="str">
        <x:v>Nisha Rai</x:v>
      </x:c>
      <x:c r="J23" s="37" t="str">
        <x:v>Lost</x:v>
      </x:c>
      <x:c r="K23" s="42" t="n">
        <x:v>46113</x:v>
      </x:c>
      <x:c r="L23" s="37" t="str"/>
      <x:c r="M23" s="44" t="n">
        <x:v>16000</x:v>
      </x:c>
      <x:c r="N23" s="37" t="str">
        <x:v>Price</x:v>
      </x:c>
      <x:c r="O23" s="42" t="n">
        <x:v>46117</x:v>
      </x:c>
      <x:c r="P23" s="37" t="str">
        <x:v>Demo lead</x:v>
      </x:c>
    </x:row>
    <x:row r="24">
      <x:c r="A24" s="37" t="str">
        <x:v>DEMO</x:v>
      </x:c>
      <x:c r="B24" s="59" t="str">
        <x:f>IF(C24="","","LEAD-"&amp;TEXT(C24,"yymmdd")&amp;"-"&amp;TEXT(ROW()-5,"0000"))</x:f>
        <x:v>LEAD-260403-0019</x:v>
      </x:c>
      <x:c r="C24" s="42" t="n">
        <x:v>46115</x:v>
      </x:c>
      <x:c r="D24" s="37" t="str">
        <x:v>Lead 19</x:v>
      </x:c>
      <x:c r="E24" s="37" t="str">
        <x:v>9700000018</x:v>
      </x:c>
      <x:c r="F24" s="37" t="str">
        <x:v>Google Search</x:v>
      </x:c>
      <x:c r="G24" s="37" t="str">
        <x:v>Main Studio</x:v>
      </x:c>
      <x:c r="H24" s="37" t="str">
        <x:v>Reformer Beginner</x:v>
      </x:c>
      <x:c r="I24" s="37" t="str">
        <x:v>Nisha Rai</x:v>
      </x:c>
      <x:c r="J24" s="37" t="str">
        <x:v>Converted</x:v>
      </x:c>
      <x:c r="K24" s="42" t="n">
        <x:v>46118</x:v>
      </x:c>
      <x:c r="L24" s="37" t="str">
        <x:v>MBR-0007</x:v>
      </x:c>
      <x:c r="M24" s="44" t="n">
        <x:v>16000</x:v>
      </x:c>
      <x:c r="N24" s="37" t="str"/>
      <x:c r="O24" s="42" t="n">
        <x:v>46122</x:v>
      </x:c>
      <x:c r="P24" s="37" t="str">
        <x:v>Demo lead</x:v>
      </x:c>
    </x:row>
    <x:row r="25">
      <x:c r="A25" s="37" t="str">
        <x:v>DEMO</x:v>
      </x:c>
      <x:c r="B25" s="59" t="str">
        <x:f>IF(C25="","","LEAD-"&amp;TEXT(C25,"yymmdd")&amp;"-"&amp;TEXT(ROW()-5,"0000"))</x:f>
        <x:v>LEAD-260408-0020</x:v>
      </x:c>
      <x:c r="C25" s="42" t="n">
        <x:v>46120</x:v>
      </x:c>
      <x:c r="D25" s="37" t="str">
        <x:v>Lead 20</x:v>
      </x:c>
      <x:c r="E25" s="37" t="str">
        <x:v>9700000019</x:v>
      </x:c>
      <x:c r="F25" s="37" t="str">
        <x:v>Walk-in</x:v>
      </x:c>
      <x:c r="G25" s="37" t="str">
        <x:v>Main Studio</x:v>
      </x:c>
      <x:c r="H25" s="37" t="str">
        <x:v>Mat Pilates</x:v>
      </x:c>
      <x:c r="I25" s="37" t="str">
        <x:v>Nisha Rai</x:v>
      </x:c>
      <x:c r="J25" s="37" t="str">
        <x:v>Converted</x:v>
      </x:c>
      <x:c r="K25" s="42" t="n">
        <x:v>46123</x:v>
      </x:c>
      <x:c r="L25" s="37" t="str">
        <x:v>MBR-0008</x:v>
      </x:c>
      <x:c r="M25" s="44" t="n">
        <x:v>16000</x:v>
      </x:c>
      <x:c r="N25" s="37" t="str"/>
      <x:c r="O25" s="42" t="n">
        <x:v>46127</x:v>
      </x:c>
      <x:c r="P25" s="37" t="str">
        <x:v>Demo lead</x:v>
      </x:c>
    </x:row>
    <x:row r="26">
      <x:c r="A26" s="37" t="str">
        <x:v>DEMO</x:v>
      </x:c>
      <x:c r="B26" s="59" t="str">
        <x:f>IF(C26="","","LEAD-"&amp;TEXT(C26,"yymmdd")&amp;"-"&amp;TEXT(ROW()-5,"0000"))</x:f>
        <x:v>LEAD-260413-0021</x:v>
      </x:c>
      <x:c r="C26" s="42" t="n">
        <x:v>46125</x:v>
      </x:c>
      <x:c r="D26" s="37" t="str">
        <x:v>Lead 21</x:v>
      </x:c>
      <x:c r="E26" s="37" t="str">
        <x:v>9700000020</x:v>
      </x:c>
      <x:c r="F26" s="37" t="str">
        <x:v>Instagram</x:v>
      </x:c>
      <x:c r="G26" s="37" t="str">
        <x:v>Main Studio</x:v>
      </x:c>
      <x:c r="H26" s="37" t="str">
        <x:v>Private Session</x:v>
      </x:c>
      <x:c r="I26" s="37" t="str">
        <x:v>Nisha Rai</x:v>
      </x:c>
      <x:c r="J26" s="37" t="str">
        <x:v>Trial Completed</x:v>
      </x:c>
      <x:c r="K26" s="42" t="n">
        <x:v>46128</x:v>
      </x:c>
      <x:c r="L26" s="37" t="str"/>
      <x:c r="M26" s="44" t="n">
        <x:v>16000</x:v>
      </x:c>
      <x:c r="N26" s="37" t="str"/>
      <x:c r="O26" s="42" t="n">
        <x:v>46132</x:v>
      </x:c>
      <x:c r="P26" s="37" t="str">
        <x:v>Demo lead</x:v>
      </x:c>
    </x:row>
    <x:row r="27">
      <x:c r="A27" s="37" t="str">
        <x:v>DEMO</x:v>
      </x:c>
      <x:c r="B27" s="59" t="str">
        <x:f>IF(C27="","","LEAD-"&amp;TEXT(C27,"yymmdd")&amp;"-"&amp;TEXT(ROW()-5,"0000"))</x:f>
        <x:v>LEAD-260418-0022</x:v>
      </x:c>
      <x:c r="C27" s="42" t="n">
        <x:v>46130</x:v>
      </x:c>
      <x:c r="D27" s="37" t="str">
        <x:v>Lead 22</x:v>
      </x:c>
      <x:c r="E27" s="37" t="str">
        <x:v>9700000021</x:v>
      </x:c>
      <x:c r="F27" s="37" t="str">
        <x:v>Referral</x:v>
      </x:c>
      <x:c r="G27" s="37" t="str">
        <x:v>Main Studio</x:v>
      </x:c>
      <x:c r="H27" s="37" t="str">
        <x:v>Reformer Beginner</x:v>
      </x:c>
      <x:c r="I27" s="37" t="str">
        <x:v>Nisha Rai</x:v>
      </x:c>
      <x:c r="J27" s="37" t="str">
        <x:v>Trial Booked</x:v>
      </x:c>
      <x:c r="K27" s="42" t="n">
        <x:v>46133</x:v>
      </x:c>
      <x:c r="L27" s="37" t="str"/>
      <x:c r="M27" s="44" t="n">
        <x:v>16000</x:v>
      </x:c>
      <x:c r="N27" s="37" t="str"/>
      <x:c r="O27" s="42" t="n">
        <x:v>46137</x:v>
      </x:c>
      <x:c r="P27" s="37" t="str">
        <x:v>Demo lead</x:v>
      </x:c>
    </x:row>
    <x:row r="28">
      <x:c r="A28" s="37" t="str">
        <x:v>DEMO</x:v>
      </x:c>
      <x:c r="B28" s="59" t="str">
        <x:f>IF(C28="","","LEAD-"&amp;TEXT(C28,"yymmdd")&amp;"-"&amp;TEXT(ROW()-5,"0000"))</x:f>
        <x:v>LEAD-260423-0023</x:v>
      </x:c>
      <x:c r="C28" s="42" t="n">
        <x:v>46135</x:v>
      </x:c>
      <x:c r="D28" s="37" t="str">
        <x:v>Lead 23</x:v>
      </x:c>
      <x:c r="E28" s="37" t="str">
        <x:v>9700000022</x:v>
      </x:c>
      <x:c r="F28" s="37" t="str">
        <x:v>Google Search</x:v>
      </x:c>
      <x:c r="G28" s="37" t="str">
        <x:v>Main Studio</x:v>
      </x:c>
      <x:c r="H28" s="37" t="str">
        <x:v>Mat Pilates</x:v>
      </x:c>
      <x:c r="I28" s="37" t="str">
        <x:v>Nisha Rai</x:v>
      </x:c>
      <x:c r="J28" s="37" t="str">
        <x:v>Follow-up</x:v>
      </x:c>
      <x:c r="K28" s="42" t="n">
        <x:v>46138</x:v>
      </x:c>
      <x:c r="L28" s="37" t="str"/>
      <x:c r="M28" s="44" t="n">
        <x:v>16000</x:v>
      </x:c>
      <x:c r="N28" s="37" t="str"/>
      <x:c r="O28" s="42" t="n">
        <x:v>46142</x:v>
      </x:c>
      <x:c r="P28" s="37" t="str">
        <x:v>Demo lead</x:v>
      </x:c>
    </x:row>
    <x:row r="29">
      <x:c r="A29" s="37" t="str">
        <x:v>DEMO</x:v>
      </x:c>
      <x:c r="B29" s="59" t="str">
        <x:f>IF(C29="","","LEAD-"&amp;TEXT(C29,"yymmdd")&amp;"-"&amp;TEXT(ROW()-5,"0000"))</x:f>
        <x:v>LEAD-260428-0024</x:v>
      </x:c>
      <x:c r="C29" s="42" t="n">
        <x:v>46140</x:v>
      </x:c>
      <x:c r="D29" s="37" t="str">
        <x:v>Lead 24</x:v>
      </x:c>
      <x:c r="E29" s="37" t="str">
        <x:v>9700000023</x:v>
      </x:c>
      <x:c r="F29" s="37" t="str">
        <x:v>Walk-in</x:v>
      </x:c>
      <x:c r="G29" s="37" t="str">
        <x:v>Main Studio</x:v>
      </x:c>
      <x:c r="H29" s="37" t="str">
        <x:v>Private Session</x:v>
      </x:c>
      <x:c r="I29" s="37" t="str">
        <x:v>Nisha Rai</x:v>
      </x:c>
      <x:c r="J29" s="37" t="str">
        <x:v>Lost</x:v>
      </x:c>
      <x:c r="K29" s="42" t="n">
        <x:v>46143</x:v>
      </x:c>
      <x:c r="L29" s="37" t="str"/>
      <x:c r="M29" s="44" t="n">
        <x:v>16000</x:v>
      </x:c>
      <x:c r="N29" s="37" t="str">
        <x:v>Price</x:v>
      </x:c>
      <x:c r="O29" s="42" t="n">
        <x:v>46147</x:v>
      </x:c>
      <x:c r="P29" s="37" t="str">
        <x:v>Demo lead</x:v>
      </x:c>
    </x:row>
    <x:row r="30">
      <x:c r="A30" s="37" t="str">
        <x:v>DEMO</x:v>
      </x:c>
      <x:c r="B30" s="59" t="str">
        <x:f>IF(C30="","","LEAD-"&amp;TEXT(C30,"yymmdd")&amp;"-"&amp;TEXT(ROW()-5,"0000"))</x:f>
        <x:v>LEAD-260503-0025</x:v>
      </x:c>
      <x:c r="C30" s="42" t="n">
        <x:v>46145</x:v>
      </x:c>
      <x:c r="D30" s="37" t="str">
        <x:v>Lead 25</x:v>
      </x:c>
      <x:c r="E30" s="37" t="str">
        <x:v>9700000024</x:v>
      </x:c>
      <x:c r="F30" s="37" t="str">
        <x:v>Instagram</x:v>
      </x:c>
      <x:c r="G30" s="37" t="str">
        <x:v>Main Studio</x:v>
      </x:c>
      <x:c r="H30" s="37" t="str">
        <x:v>Reformer Beginner</x:v>
      </x:c>
      <x:c r="I30" s="37" t="str">
        <x:v>Nisha Rai</x:v>
      </x:c>
      <x:c r="J30" s="37" t="str">
        <x:v>Converted</x:v>
      </x:c>
      <x:c r="K30" s="42" t="n">
        <x:v>46148</x:v>
      </x:c>
      <x:c r="L30" s="37" t="str">
        <x:v>MBR-0001</x:v>
      </x:c>
      <x:c r="M30" s="44" t="n">
        <x:v>16000</x:v>
      </x:c>
      <x:c r="N30" s="37" t="str"/>
      <x:c r="O30" s="42" t="n">
        <x:v>46152</x:v>
      </x:c>
      <x:c r="P30" s="37" t="str">
        <x:v>Demo lead</x:v>
      </x:c>
    </x:row>
    <x:row r="31">
      <x:c r="A31" s="37" t="str">
        <x:v>DEMO</x:v>
      </x:c>
      <x:c r="B31" s="59" t="str">
        <x:f>IF(C31="","","LEAD-"&amp;TEXT(C31,"yymmdd")&amp;"-"&amp;TEXT(ROW()-5,"0000"))</x:f>
        <x:v>LEAD-260508-0026</x:v>
      </x:c>
      <x:c r="C31" s="42" t="n">
        <x:v>46150</x:v>
      </x:c>
      <x:c r="D31" s="37" t="str">
        <x:v>Lead 26</x:v>
      </x:c>
      <x:c r="E31" s="37" t="str">
        <x:v>9700000025</x:v>
      </x:c>
      <x:c r="F31" s="37" t="str">
        <x:v>Referral</x:v>
      </x:c>
      <x:c r="G31" s="37" t="str">
        <x:v>Main Studio</x:v>
      </x:c>
      <x:c r="H31" s="37" t="str">
        <x:v>Mat Pilates</x:v>
      </x:c>
      <x:c r="I31" s="37" t="str">
        <x:v>Nisha Rai</x:v>
      </x:c>
      <x:c r="J31" s="37" t="str">
        <x:v>Converted</x:v>
      </x:c>
      <x:c r="K31" s="42" t="n">
        <x:v>46153</x:v>
      </x:c>
      <x:c r="L31" s="37" t="str">
        <x:v>MBR-0002</x:v>
      </x:c>
      <x:c r="M31" s="44" t="n">
        <x:v>16000</x:v>
      </x:c>
      <x:c r="N31" s="37" t="str"/>
      <x:c r="O31" s="42" t="n">
        <x:v>46157</x:v>
      </x:c>
      <x:c r="P31" s="37" t="str">
        <x:v>Demo lead</x:v>
      </x:c>
    </x:row>
    <x:row r="32">
      <x:c r="A32" s="37" t="str">
        <x:v>DEMO</x:v>
      </x:c>
      <x:c r="B32" s="59" t="str">
        <x:f>IF(C32="","","LEAD-"&amp;TEXT(C32,"yymmdd")&amp;"-"&amp;TEXT(ROW()-5,"0000"))</x:f>
        <x:v>LEAD-260513-0027</x:v>
      </x:c>
      <x:c r="C32" s="42" t="n">
        <x:v>46155</x:v>
      </x:c>
      <x:c r="D32" s="37" t="str">
        <x:v>Lead 27</x:v>
      </x:c>
      <x:c r="E32" s="37" t="str">
        <x:v>9700000026</x:v>
      </x:c>
      <x:c r="F32" s="37" t="str">
        <x:v>Google Search</x:v>
      </x:c>
      <x:c r="G32" s="37" t="str">
        <x:v>Main Studio</x:v>
      </x:c>
      <x:c r="H32" s="37" t="str">
        <x:v>Private Session</x:v>
      </x:c>
      <x:c r="I32" s="37" t="str">
        <x:v>Nisha Rai</x:v>
      </x:c>
      <x:c r="J32" s="37" t="str">
        <x:v>Trial Completed</x:v>
      </x:c>
      <x:c r="K32" s="42" t="n">
        <x:v>46158</x:v>
      </x:c>
      <x:c r="L32" s="37" t="str"/>
      <x:c r="M32" s="44" t="n">
        <x:v>16000</x:v>
      </x:c>
      <x:c r="N32" s="37" t="str"/>
      <x:c r="O32" s="42" t="n">
        <x:v>46162</x:v>
      </x:c>
      <x:c r="P32" s="37" t="str">
        <x:v>Demo lead</x:v>
      </x:c>
    </x:row>
    <x:row r="33">
      <x:c r="A33" s="37" t="str">
        <x:v>DEMO</x:v>
      </x:c>
      <x:c r="B33" s="59" t="str">
        <x:f>IF(C33="","","LEAD-"&amp;TEXT(C33,"yymmdd")&amp;"-"&amp;TEXT(ROW()-5,"0000"))</x:f>
        <x:v>LEAD-260518-0028</x:v>
      </x:c>
      <x:c r="C33" s="42" t="n">
        <x:v>46160</x:v>
      </x:c>
      <x:c r="D33" s="37" t="str">
        <x:v>Lead 28</x:v>
      </x:c>
      <x:c r="E33" s="37" t="str">
        <x:v>9700000027</x:v>
      </x:c>
      <x:c r="F33" s="37" t="str">
        <x:v>Walk-in</x:v>
      </x:c>
      <x:c r="G33" s="37" t="str">
        <x:v>Main Studio</x:v>
      </x:c>
      <x:c r="H33" s="37" t="str">
        <x:v>Reformer Beginner</x:v>
      </x:c>
      <x:c r="I33" s="37" t="str">
        <x:v>Nisha Rai</x:v>
      </x:c>
      <x:c r="J33" s="37" t="str">
        <x:v>Trial Booked</x:v>
      </x:c>
      <x:c r="K33" s="42" t="n">
        <x:v>46163</x:v>
      </x:c>
      <x:c r="L33" s="37" t="str"/>
      <x:c r="M33" s="44" t="n">
        <x:v>16000</x:v>
      </x:c>
      <x:c r="N33" s="37" t="str"/>
      <x:c r="O33" s="42" t="n">
        <x:v>46167</x:v>
      </x:c>
      <x:c r="P33" s="37" t="str">
        <x:v>Demo lead</x:v>
      </x:c>
    </x:row>
    <x:row r="34">
      <x:c r="A34" s="37" t="str">
        <x:v>DEMO</x:v>
      </x:c>
      <x:c r="B34" s="59" t="str">
        <x:f>IF(C34="","","LEAD-"&amp;TEXT(C34,"yymmdd")&amp;"-"&amp;TEXT(ROW()-5,"0000"))</x:f>
        <x:v>LEAD-260523-0029</x:v>
      </x:c>
      <x:c r="C34" s="42" t="n">
        <x:v>46165</x:v>
      </x:c>
      <x:c r="D34" s="37" t="str">
        <x:v>Lead 29</x:v>
      </x:c>
      <x:c r="E34" s="37" t="str">
        <x:v>9700000028</x:v>
      </x:c>
      <x:c r="F34" s="37" t="str">
        <x:v>Instagram</x:v>
      </x:c>
      <x:c r="G34" s="37" t="str">
        <x:v>Main Studio</x:v>
      </x:c>
      <x:c r="H34" s="37" t="str">
        <x:v>Mat Pilates</x:v>
      </x:c>
      <x:c r="I34" s="37" t="str">
        <x:v>Nisha Rai</x:v>
      </x:c>
      <x:c r="J34" s="37" t="str">
        <x:v>Follow-up</x:v>
      </x:c>
      <x:c r="K34" s="42" t="n">
        <x:v>46168</x:v>
      </x:c>
      <x:c r="L34" s="37" t="str"/>
      <x:c r="M34" s="44" t="n">
        <x:v>16000</x:v>
      </x:c>
      <x:c r="N34" s="37" t="str"/>
      <x:c r="O34" s="42" t="n">
        <x:v>46172</x:v>
      </x:c>
      <x:c r="P34" s="37" t="str">
        <x:v>Demo lead</x:v>
      </x:c>
    </x:row>
    <x:row r="35">
      <x:c r="A35" s="37" t="str">
        <x:v>DEMO</x:v>
      </x:c>
      <x:c r="B35" s="59" t="str">
        <x:f>IF(C35="","","LEAD-"&amp;TEXT(C35,"yymmdd")&amp;"-"&amp;TEXT(ROW()-5,"0000"))</x:f>
        <x:v>LEAD-260528-0030</x:v>
      </x:c>
      <x:c r="C35" s="42" t="n">
        <x:v>46170</x:v>
      </x:c>
      <x:c r="D35" s="37" t="str">
        <x:v>Lead 30</x:v>
      </x:c>
      <x:c r="E35" s="37" t="str">
        <x:v>9700000029</x:v>
      </x:c>
      <x:c r="F35" s="37" t="str">
        <x:v>Referral</x:v>
      </x:c>
      <x:c r="G35" s="37" t="str">
        <x:v>Main Studio</x:v>
      </x:c>
      <x:c r="H35" s="37" t="str">
        <x:v>Private Session</x:v>
      </x:c>
      <x:c r="I35" s="37" t="str">
        <x:v>Nisha Rai</x:v>
      </x:c>
      <x:c r="J35" s="37" t="str">
        <x:v>Lost</x:v>
      </x:c>
      <x:c r="K35" s="42" t="n">
        <x:v>46173</x:v>
      </x:c>
      <x:c r="L35" s="37" t="str"/>
      <x:c r="M35" s="44" t="n">
        <x:v>16000</x:v>
      </x:c>
      <x:c r="N35" s="37" t="str">
        <x:v>Price</x:v>
      </x:c>
      <x:c r="O35" s="42" t="n">
        <x:v>46177</x:v>
      </x:c>
      <x:c r="P35" s="37" t="str">
        <x:v>Demo lead</x:v>
      </x:c>
    </x:row>
    <x:row r="36">
      <x:c r="A36" s="37" t="str">
        <x:v>DEMO</x:v>
      </x:c>
      <x:c r="B36" s="59" t="str">
        <x:f>IF(C36="","","LEAD-"&amp;TEXT(C36,"yymmdd")&amp;"-"&amp;TEXT(ROW()-5,"0000"))</x:f>
        <x:v>LEAD-260602-0031</x:v>
      </x:c>
      <x:c r="C36" s="42" t="n">
        <x:v>46175</x:v>
      </x:c>
      <x:c r="D36" s="37" t="str">
        <x:v>Lead 31</x:v>
      </x:c>
      <x:c r="E36" s="37" t="str">
        <x:v>9700000030</x:v>
      </x:c>
      <x:c r="F36" s="37" t="str">
        <x:v>Google Search</x:v>
      </x:c>
      <x:c r="G36" s="37" t="str">
        <x:v>Main Studio</x:v>
      </x:c>
      <x:c r="H36" s="37" t="str">
        <x:v>Reformer Beginner</x:v>
      </x:c>
      <x:c r="I36" s="37" t="str">
        <x:v>Nisha Rai</x:v>
      </x:c>
      <x:c r="J36" s="37" t="str">
        <x:v>Converted</x:v>
      </x:c>
      <x:c r="K36" s="42" t="n">
        <x:v>46178</x:v>
      </x:c>
      <x:c r="L36" s="37" t="str">
        <x:v>MBR-0007</x:v>
      </x:c>
      <x:c r="M36" s="44" t="n">
        <x:v>16000</x:v>
      </x:c>
      <x:c r="N36" s="37" t="str"/>
      <x:c r="O36" s="42" t="n">
        <x:v>46182</x:v>
      </x:c>
      <x:c r="P36" s="37" t="str">
        <x:v>Demo lead</x:v>
      </x:c>
    </x:row>
    <x:row r="37">
      <x:c r="A37" s="37" t="str">
        <x:v>DEMO</x:v>
      </x:c>
      <x:c r="B37" s="59" t="str">
        <x:f>IF(C37="","","LEAD-"&amp;TEXT(C37,"yymmdd")&amp;"-"&amp;TEXT(ROW()-5,"0000"))</x:f>
        <x:v>LEAD-260607-0032</x:v>
      </x:c>
      <x:c r="C37" s="42" t="n">
        <x:v>46180</x:v>
      </x:c>
      <x:c r="D37" s="37" t="str">
        <x:v>Lead 32</x:v>
      </x:c>
      <x:c r="E37" s="37" t="str">
        <x:v>9700000031</x:v>
      </x:c>
      <x:c r="F37" s="37" t="str">
        <x:v>Walk-in</x:v>
      </x:c>
      <x:c r="G37" s="37" t="str">
        <x:v>Main Studio</x:v>
      </x:c>
      <x:c r="H37" s="37" t="str">
        <x:v>Mat Pilates</x:v>
      </x:c>
      <x:c r="I37" s="37" t="str">
        <x:v>Nisha Rai</x:v>
      </x:c>
      <x:c r="J37" s="37" t="str">
        <x:v>Converted</x:v>
      </x:c>
      <x:c r="K37" s="42" t="n">
        <x:v>46183</x:v>
      </x:c>
      <x:c r="L37" s="37" t="str">
        <x:v>MBR-0008</x:v>
      </x:c>
      <x:c r="M37" s="44" t="n">
        <x:v>16000</x:v>
      </x:c>
      <x:c r="N37" s="37" t="str"/>
      <x:c r="O37" s="42" t="n">
        <x:v>46187</x:v>
      </x:c>
      <x:c r="P37" s="37" t="str">
        <x:v>Demo lead</x:v>
      </x:c>
    </x:row>
    <x:row r="38">
      <x:c r="A38" s="37" t="str">
        <x:v>DEMO</x:v>
      </x:c>
      <x:c r="B38" s="59" t="str">
        <x:f>IF(C38="","","LEAD-"&amp;TEXT(C38,"yymmdd")&amp;"-"&amp;TEXT(ROW()-5,"0000"))</x:f>
        <x:v>LEAD-260612-0033</x:v>
      </x:c>
      <x:c r="C38" s="42" t="n">
        <x:v>46185</x:v>
      </x:c>
      <x:c r="D38" s="37" t="str">
        <x:v>Lead 33</x:v>
      </x:c>
      <x:c r="E38" s="37" t="str">
        <x:v>9700000032</x:v>
      </x:c>
      <x:c r="F38" s="37" t="str">
        <x:v>Instagram</x:v>
      </x:c>
      <x:c r="G38" s="37" t="str">
        <x:v>Main Studio</x:v>
      </x:c>
      <x:c r="H38" s="37" t="str">
        <x:v>Private Session</x:v>
      </x:c>
      <x:c r="I38" s="37" t="str">
        <x:v>Nisha Rai</x:v>
      </x:c>
      <x:c r="J38" s="37" t="str">
        <x:v>Trial Completed</x:v>
      </x:c>
      <x:c r="K38" s="42" t="n">
        <x:v>46188</x:v>
      </x:c>
      <x:c r="L38" s="37" t="str"/>
      <x:c r="M38" s="44" t="n">
        <x:v>16000</x:v>
      </x:c>
      <x:c r="N38" s="37" t="str"/>
      <x:c r="O38" s="42" t="n">
        <x:v>46192</x:v>
      </x:c>
      <x:c r="P38" s="37" t="str">
        <x:v>Demo lead</x:v>
      </x:c>
    </x:row>
    <x:row r="39">
      <x:c r="A39" s="37" t="str">
        <x:v>DEMO</x:v>
      </x:c>
      <x:c r="B39" s="59" t="str">
        <x:f>IF(C39="","","LEAD-"&amp;TEXT(C39,"yymmdd")&amp;"-"&amp;TEXT(ROW()-5,"0000"))</x:f>
        <x:v>LEAD-260617-0034</x:v>
      </x:c>
      <x:c r="C39" s="42" t="n">
        <x:v>46190</x:v>
      </x:c>
      <x:c r="D39" s="37" t="str">
        <x:v>Lead 34</x:v>
      </x:c>
      <x:c r="E39" s="37" t="str">
        <x:v>9700000033</x:v>
      </x:c>
      <x:c r="F39" s="37" t="str">
        <x:v>Referral</x:v>
      </x:c>
      <x:c r="G39" s="37" t="str">
        <x:v>Main Studio</x:v>
      </x:c>
      <x:c r="H39" s="37" t="str">
        <x:v>Reformer Beginner</x:v>
      </x:c>
      <x:c r="I39" s="37" t="str">
        <x:v>Nisha Rai</x:v>
      </x:c>
      <x:c r="J39" s="37" t="str">
        <x:v>Trial Booked</x:v>
      </x:c>
      <x:c r="K39" s="42" t="n">
        <x:v>46193</x:v>
      </x:c>
      <x:c r="L39" s="37" t="str"/>
      <x:c r="M39" s="44" t="n">
        <x:v>16000</x:v>
      </x:c>
      <x:c r="N39" s="37" t="str"/>
      <x:c r="O39" s="42" t="n">
        <x:v>46197</x:v>
      </x:c>
      <x:c r="P39" s="37" t="str">
        <x:v>Demo lead</x:v>
      </x:c>
    </x:row>
    <x:row r="40">
      <x:c r="A40" s="37" t="str">
        <x:v>DEMO</x:v>
      </x:c>
      <x:c r="B40" s="59" t="str">
        <x:f>IF(C40="","","LEAD-"&amp;TEXT(C40,"yymmdd")&amp;"-"&amp;TEXT(ROW()-5,"0000"))</x:f>
        <x:v>LEAD-260622-0035</x:v>
      </x:c>
      <x:c r="C40" s="42" t="n">
        <x:v>46195</x:v>
      </x:c>
      <x:c r="D40" s="37" t="str">
        <x:v>Lead 35</x:v>
      </x:c>
      <x:c r="E40" s="37" t="str">
        <x:v>9700000034</x:v>
      </x:c>
      <x:c r="F40" s="37" t="str">
        <x:v>Google Search</x:v>
      </x:c>
      <x:c r="G40" s="37" t="str">
        <x:v>Main Studio</x:v>
      </x:c>
      <x:c r="H40" s="37" t="str">
        <x:v>Mat Pilates</x:v>
      </x:c>
      <x:c r="I40" s="37" t="str">
        <x:v>Nisha Rai</x:v>
      </x:c>
      <x:c r="J40" s="37" t="str">
        <x:v>Follow-up</x:v>
      </x:c>
      <x:c r="K40" s="42" t="n">
        <x:v>46198</x:v>
      </x:c>
      <x:c r="L40" s="37" t="str"/>
      <x:c r="M40" s="44" t="n">
        <x:v>16000</x:v>
      </x:c>
      <x:c r="N40" s="37" t="str"/>
      <x:c r="O40" s="42" t="n">
        <x:v>46202</x:v>
      </x:c>
      <x:c r="P40" s="37" t="str">
        <x:v>Demo lead</x:v>
      </x:c>
    </x:row>
    <x:row r="41">
      <x:c r="A41" s="37" t="str">
        <x:v>DEMO</x:v>
      </x:c>
      <x:c r="B41" s="59" t="str">
        <x:f>IF(C41="","","LEAD-"&amp;TEXT(C41,"yymmdd")&amp;"-"&amp;TEXT(ROW()-5,"0000"))</x:f>
        <x:v>LEAD-260627-0036</x:v>
      </x:c>
      <x:c r="C41" s="42" t="n">
        <x:v>46200</x:v>
      </x:c>
      <x:c r="D41" s="37" t="str">
        <x:v>Lead 36</x:v>
      </x:c>
      <x:c r="E41" s="37" t="str">
        <x:v>9700000035</x:v>
      </x:c>
      <x:c r="F41" s="37" t="str">
        <x:v>Walk-in</x:v>
      </x:c>
      <x:c r="G41" s="37" t="str">
        <x:v>Main Studio</x:v>
      </x:c>
      <x:c r="H41" s="37" t="str">
        <x:v>Private Session</x:v>
      </x:c>
      <x:c r="I41" s="37" t="str">
        <x:v>Nisha Rai</x:v>
      </x:c>
      <x:c r="J41" s="37" t="str">
        <x:v>Lost</x:v>
      </x:c>
      <x:c r="K41" s="42" t="n">
        <x:v>46203</x:v>
      </x:c>
      <x:c r="L41" s="37" t="str"/>
      <x:c r="M41" s="44" t="n">
        <x:v>16000</x:v>
      </x:c>
      <x:c r="N41" s="37" t="str">
        <x:v>Price</x:v>
      </x:c>
      <x:c r="O41" s="42" t="n">
        <x:v>46207</x:v>
      </x:c>
      <x:c r="P41" s="37" t="str">
        <x:v>Demo lead</x:v>
      </x:c>
    </x:row>
    <x:row r="42">
      <x:c r="A42" s="37" t="str">
        <x:v>DEMO</x:v>
      </x:c>
      <x:c r="B42" s="59" t="str">
        <x:f>IF(C42="","","LEAD-"&amp;TEXT(C42,"yymmdd")&amp;"-"&amp;TEXT(ROW()-5,"0000"))</x:f>
        <x:v>LEAD-260702-0037</x:v>
      </x:c>
      <x:c r="C42" s="42" t="n">
        <x:v>46205</x:v>
      </x:c>
      <x:c r="D42" s="37" t="str">
        <x:v>Lead 37</x:v>
      </x:c>
      <x:c r="E42" s="37" t="str">
        <x:v>9700000036</x:v>
      </x:c>
      <x:c r="F42" s="37" t="str">
        <x:v>Instagram</x:v>
      </x:c>
      <x:c r="G42" s="37" t="str">
        <x:v>Main Studio</x:v>
      </x:c>
      <x:c r="H42" s="37" t="str">
        <x:v>Reformer Beginner</x:v>
      </x:c>
      <x:c r="I42" s="37" t="str">
        <x:v>Nisha Rai</x:v>
      </x:c>
      <x:c r="J42" s="37" t="str">
        <x:v>Converted</x:v>
      </x:c>
      <x:c r="K42" s="42" t="n">
        <x:v>46208</x:v>
      </x:c>
      <x:c r="L42" s="37" t="str">
        <x:v>MBR-0001</x:v>
      </x:c>
      <x:c r="M42" s="44" t="n">
        <x:v>16000</x:v>
      </x:c>
      <x:c r="N42" s="37" t="str"/>
      <x:c r="O42" s="42" t="n">
        <x:v>46212</x:v>
      </x:c>
      <x:c r="P42" s="37" t="str">
        <x:v>Demo lead</x:v>
      </x:c>
    </x:row>
    <x:row r="43">
      <x:c r="A43" s="37" t="str">
        <x:v>DEMO</x:v>
      </x:c>
      <x:c r="B43" s="59" t="str">
        <x:f>IF(C43="","","LEAD-"&amp;TEXT(C43,"yymmdd")&amp;"-"&amp;TEXT(ROW()-5,"0000"))</x:f>
        <x:v>LEAD-260707-0038</x:v>
      </x:c>
      <x:c r="C43" s="42" t="n">
        <x:v>46210</x:v>
      </x:c>
      <x:c r="D43" s="37" t="str">
        <x:v>Lead 38</x:v>
      </x:c>
      <x:c r="E43" s="37" t="str">
        <x:v>9700000037</x:v>
      </x:c>
      <x:c r="F43" s="37" t="str">
        <x:v>Referral</x:v>
      </x:c>
      <x:c r="G43" s="37" t="str">
        <x:v>Main Studio</x:v>
      </x:c>
      <x:c r="H43" s="37" t="str">
        <x:v>Mat Pilates</x:v>
      </x:c>
      <x:c r="I43" s="37" t="str">
        <x:v>Nisha Rai</x:v>
      </x:c>
      <x:c r="J43" s="37" t="str">
        <x:v>Converted</x:v>
      </x:c>
      <x:c r="K43" s="42" t="n">
        <x:v>46213</x:v>
      </x:c>
      <x:c r="L43" s="37" t="str">
        <x:v>MBR-0002</x:v>
      </x:c>
      <x:c r="M43" s="44" t="n">
        <x:v>16000</x:v>
      </x:c>
      <x:c r="N43" s="37" t="str"/>
      <x:c r="O43" s="42" t="n">
        <x:v>46217</x:v>
      </x:c>
      <x:c r="P43" s="37" t="str">
        <x:v>Demo lead</x:v>
      </x:c>
    </x:row>
    <x:row r="44">
      <x:c r="A44" s="37" t="str">
        <x:v>DEMO</x:v>
      </x:c>
      <x:c r="B44" s="59" t="str">
        <x:f>IF(C44="","","LEAD-"&amp;TEXT(C44,"yymmdd")&amp;"-"&amp;TEXT(ROW()-5,"0000"))</x:f>
        <x:v>LEAD-260712-0039</x:v>
      </x:c>
      <x:c r="C44" s="42" t="n">
        <x:v>46215</x:v>
      </x:c>
      <x:c r="D44" s="37" t="str">
        <x:v>Lead 39</x:v>
      </x:c>
      <x:c r="E44" s="37" t="str">
        <x:v>9700000038</x:v>
      </x:c>
      <x:c r="F44" s="37" t="str">
        <x:v>Google Search</x:v>
      </x:c>
      <x:c r="G44" s="37" t="str">
        <x:v>Main Studio</x:v>
      </x:c>
      <x:c r="H44" s="37" t="str">
        <x:v>Private Session</x:v>
      </x:c>
      <x:c r="I44" s="37" t="str">
        <x:v>Nisha Rai</x:v>
      </x:c>
      <x:c r="J44" s="37" t="str">
        <x:v>Trial Completed</x:v>
      </x:c>
      <x:c r="K44" s="42" t="n">
        <x:v>46218</x:v>
      </x:c>
      <x:c r="L44" s="37" t="str"/>
      <x:c r="M44" s="44" t="n">
        <x:v>16000</x:v>
      </x:c>
      <x:c r="N44" s="37" t="str"/>
      <x:c r="O44" s="42" t="n">
        <x:v>46222</x:v>
      </x:c>
      <x:c r="P44" s="37" t="str">
        <x:v>Demo lead</x:v>
      </x:c>
    </x:row>
    <x:row r="45">
      <x:c r="A45" s="37" t="str">
        <x:v>DEMO</x:v>
      </x:c>
      <x:c r="B45" s="59" t="str">
        <x:f>IF(C45="","","LEAD-"&amp;TEXT(C45,"yymmdd")&amp;"-"&amp;TEXT(ROW()-5,"0000"))</x:f>
        <x:v>LEAD-260717-0040</x:v>
      </x:c>
      <x:c r="C45" s="42" t="n">
        <x:v>46220</x:v>
      </x:c>
      <x:c r="D45" s="37" t="str">
        <x:v>Lead 40</x:v>
      </x:c>
      <x:c r="E45" s="37" t="str">
        <x:v>9700000039</x:v>
      </x:c>
      <x:c r="F45" s="37" t="str">
        <x:v>Walk-in</x:v>
      </x:c>
      <x:c r="G45" s="37" t="str">
        <x:v>Main Studio</x:v>
      </x:c>
      <x:c r="H45" s="37" t="str">
        <x:v>Reformer Beginner</x:v>
      </x:c>
      <x:c r="I45" s="37" t="str">
        <x:v>Nisha Rai</x:v>
      </x:c>
      <x:c r="J45" s="37" t="str">
        <x:v>Trial Booked</x:v>
      </x:c>
      <x:c r="K45" s="42" t="n">
        <x:v>46223</x:v>
      </x:c>
      <x:c r="L45" s="37" t="str"/>
      <x:c r="M45" s="44" t="n">
        <x:v>16000</x:v>
      </x:c>
      <x:c r="N45" s="37" t="str"/>
      <x:c r="O45" s="42" t="n">
        <x:v>46227</x:v>
      </x:c>
      <x:c r="P45" s="37" t="str">
        <x:v>Demo lead</x:v>
      </x:c>
    </x:row>
    <x:row r="46">
      <x:c r="A46" s="37"/>
      <x:c r="B46" s="59" t="str">
        <x:f>IF(C46="","","LEAD-"&amp;TEXT(C46,"yymmdd")&amp;"-"&amp;TEXT(ROW()-5,"0000"))</x:f>
      </x:c>
      <x:c r="C46" s="42"/>
      <x:c r="D46" s="37"/>
      <x:c r="E46" s="37"/>
      <x:c r="F46" s="37"/>
      <x:c r="G46" s="37"/>
      <x:c r="H46" s="37"/>
      <x:c r="I46" s="37"/>
      <x:c r="J46" s="37"/>
      <x:c r="K46" s="42"/>
      <x:c r="L46" s="37"/>
      <x:c r="M46" s="44"/>
      <x:c r="N46" s="37"/>
      <x:c r="O46" s="42"/>
      <x:c r="P46" s="37"/>
    </x:row>
    <x:row r="47">
      <x:c r="A47" s="37"/>
      <x:c r="B47" s="59" t="str">
        <x:f>IF(C47="","","LEAD-"&amp;TEXT(C47,"yymmdd")&amp;"-"&amp;TEXT(ROW()-5,"0000"))</x:f>
      </x:c>
      <x:c r="C47" s="42"/>
      <x:c r="D47" s="37"/>
      <x:c r="E47" s="37"/>
      <x:c r="F47" s="37"/>
      <x:c r="G47" s="37"/>
      <x:c r="H47" s="37"/>
      <x:c r="I47" s="37"/>
      <x:c r="J47" s="37"/>
      <x:c r="K47" s="42"/>
      <x:c r="L47" s="37"/>
      <x:c r="M47" s="44"/>
      <x:c r="N47" s="37"/>
      <x:c r="O47" s="42"/>
      <x:c r="P47" s="37"/>
    </x:row>
    <x:row r="48">
      <x:c r="A48" s="37"/>
      <x:c r="B48" s="59" t="str">
        <x:f>IF(C48="","","LEAD-"&amp;TEXT(C48,"yymmdd")&amp;"-"&amp;TEXT(ROW()-5,"0000"))</x:f>
      </x:c>
      <x:c r="C48" s="42"/>
      <x:c r="D48" s="37"/>
      <x:c r="E48" s="37"/>
      <x:c r="F48" s="37"/>
      <x:c r="G48" s="37"/>
      <x:c r="H48" s="37"/>
      <x:c r="I48" s="37"/>
      <x:c r="J48" s="37"/>
      <x:c r="K48" s="42"/>
      <x:c r="L48" s="37"/>
      <x:c r="M48" s="44"/>
      <x:c r="N48" s="37"/>
      <x:c r="O48" s="42"/>
      <x:c r="P48" s="37"/>
    </x:row>
    <x:row r="49">
      <x:c r="A49" s="37"/>
      <x:c r="B49" s="59" t="str">
        <x:f>IF(C49="","","LEAD-"&amp;TEXT(C49,"yymmdd")&amp;"-"&amp;TEXT(ROW()-5,"0000"))</x:f>
      </x:c>
      <x:c r="C49" s="42"/>
      <x:c r="D49" s="37"/>
      <x:c r="E49" s="37"/>
      <x:c r="F49" s="37"/>
      <x:c r="G49" s="37"/>
      <x:c r="H49" s="37"/>
      <x:c r="I49" s="37"/>
      <x:c r="J49" s="37"/>
      <x:c r="K49" s="42"/>
      <x:c r="L49" s="37"/>
      <x:c r="M49" s="44"/>
      <x:c r="N49" s="37"/>
      <x:c r="O49" s="42"/>
      <x:c r="P49" s="37"/>
    </x:row>
    <x:row r="50">
      <x:c r="A50" s="37"/>
      <x:c r="B50" s="59" t="str">
        <x:f>IF(C50="","","LEAD-"&amp;TEXT(C50,"yymmdd")&amp;"-"&amp;TEXT(ROW()-5,"0000"))</x:f>
      </x:c>
      <x:c r="C50" s="42"/>
      <x:c r="D50" s="37"/>
      <x:c r="E50" s="37"/>
      <x:c r="F50" s="37"/>
      <x:c r="G50" s="37"/>
      <x:c r="H50" s="37"/>
      <x:c r="I50" s="37"/>
      <x:c r="J50" s="37"/>
      <x:c r="K50" s="42"/>
      <x:c r="L50" s="37"/>
      <x:c r="M50" s="44"/>
      <x:c r="N50" s="37"/>
      <x:c r="O50" s="42"/>
      <x:c r="P50" s="37"/>
    </x:row>
    <x:row r="51">
      <x:c r="A51" s="37"/>
      <x:c r="B51" s="59" t="str">
        <x:f>IF(C51="","","LEAD-"&amp;TEXT(C51,"yymmdd")&amp;"-"&amp;TEXT(ROW()-5,"0000"))</x:f>
      </x:c>
      <x:c r="C51" s="42"/>
      <x:c r="D51" s="37"/>
      <x:c r="E51" s="37"/>
      <x:c r="F51" s="37"/>
      <x:c r="G51" s="37"/>
      <x:c r="H51" s="37"/>
      <x:c r="I51" s="37"/>
      <x:c r="J51" s="37"/>
      <x:c r="K51" s="42"/>
      <x:c r="L51" s="37"/>
      <x:c r="M51" s="44"/>
      <x:c r="N51" s="37"/>
      <x:c r="O51" s="42"/>
      <x:c r="P51" s="37"/>
    </x:row>
    <x:row r="52">
      <x:c r="A52" s="37"/>
      <x:c r="B52" s="59" t="str">
        <x:f>IF(C52="","","LEAD-"&amp;TEXT(C52,"yymmdd")&amp;"-"&amp;TEXT(ROW()-5,"0000"))</x:f>
      </x:c>
      <x:c r="C52" s="42"/>
      <x:c r="D52" s="37"/>
      <x:c r="E52" s="37"/>
      <x:c r="F52" s="37"/>
      <x:c r="G52" s="37"/>
      <x:c r="H52" s="37"/>
      <x:c r="I52" s="37"/>
      <x:c r="J52" s="37"/>
      <x:c r="K52" s="42"/>
      <x:c r="L52" s="37"/>
      <x:c r="M52" s="44"/>
      <x:c r="N52" s="37"/>
      <x:c r="O52" s="42"/>
      <x:c r="P52" s="37"/>
    </x:row>
    <x:row r="53">
      <x:c r="A53" s="37"/>
      <x:c r="B53" s="59" t="str">
        <x:f>IF(C53="","","LEAD-"&amp;TEXT(C53,"yymmdd")&amp;"-"&amp;TEXT(ROW()-5,"0000"))</x:f>
      </x:c>
      <x:c r="C53" s="42"/>
      <x:c r="D53" s="37"/>
      <x:c r="E53" s="37"/>
      <x:c r="F53" s="37"/>
      <x:c r="G53" s="37"/>
      <x:c r="H53" s="37"/>
      <x:c r="I53" s="37"/>
      <x:c r="J53" s="37"/>
      <x:c r="K53" s="42"/>
      <x:c r="L53" s="37"/>
      <x:c r="M53" s="44"/>
      <x:c r="N53" s="37"/>
      <x:c r="O53" s="42"/>
      <x:c r="P53" s="37"/>
    </x:row>
    <x:row r="54">
      <x:c r="A54" s="37"/>
      <x:c r="B54" s="59" t="str">
        <x:f>IF(C54="","","LEAD-"&amp;TEXT(C54,"yymmdd")&amp;"-"&amp;TEXT(ROW()-5,"0000"))</x:f>
      </x:c>
      <x:c r="C54" s="42"/>
      <x:c r="D54" s="37"/>
      <x:c r="E54" s="37"/>
      <x:c r="F54" s="37"/>
      <x:c r="G54" s="37"/>
      <x:c r="H54" s="37"/>
      <x:c r="I54" s="37"/>
      <x:c r="J54" s="37"/>
      <x:c r="K54" s="42"/>
      <x:c r="L54" s="37"/>
      <x:c r="M54" s="44"/>
      <x:c r="N54" s="37"/>
      <x:c r="O54" s="42"/>
      <x:c r="P54" s="37"/>
    </x:row>
    <x:row r="55">
      <x:c r="A55" s="37"/>
      <x:c r="B55" s="59" t="str">
        <x:f>IF(C55="","","LEAD-"&amp;TEXT(C55,"yymmdd")&amp;"-"&amp;TEXT(ROW()-5,"0000"))</x:f>
      </x:c>
      <x:c r="C55" s="42"/>
      <x:c r="D55" s="37"/>
      <x:c r="E55" s="37"/>
      <x:c r="F55" s="37"/>
      <x:c r="G55" s="37"/>
      <x:c r="H55" s="37"/>
      <x:c r="I55" s="37"/>
      <x:c r="J55" s="37"/>
      <x:c r="K55" s="42"/>
      <x:c r="L55" s="37"/>
      <x:c r="M55" s="44"/>
      <x:c r="N55" s="37"/>
      <x:c r="O55" s="42"/>
      <x:c r="P55" s="37"/>
    </x:row>
    <x:row r="56">
      <x:c r="A56" s="37"/>
      <x:c r="B56" s="59" t="str">
        <x:f>IF(C56="","","LEAD-"&amp;TEXT(C56,"yymmdd")&amp;"-"&amp;TEXT(ROW()-5,"0000"))</x:f>
      </x:c>
      <x:c r="C56" s="42"/>
      <x:c r="D56" s="37"/>
      <x:c r="E56" s="37"/>
      <x:c r="F56" s="37"/>
      <x:c r="G56" s="37"/>
      <x:c r="H56" s="37"/>
      <x:c r="I56" s="37"/>
      <x:c r="J56" s="37"/>
      <x:c r="K56" s="42"/>
      <x:c r="L56" s="37"/>
      <x:c r="M56" s="44"/>
      <x:c r="N56" s="37"/>
      <x:c r="O56" s="42"/>
      <x:c r="P56" s="37"/>
    </x:row>
    <x:row r="57">
      <x:c r="A57" s="37"/>
      <x:c r="B57" s="59" t="str">
        <x:f>IF(C57="","","LEAD-"&amp;TEXT(C57,"yymmdd")&amp;"-"&amp;TEXT(ROW()-5,"0000"))</x:f>
      </x:c>
      <x:c r="C57" s="42"/>
      <x:c r="D57" s="37"/>
      <x:c r="E57" s="37"/>
      <x:c r="F57" s="37"/>
      <x:c r="G57" s="37"/>
      <x:c r="H57" s="37"/>
      <x:c r="I57" s="37"/>
      <x:c r="J57" s="37"/>
      <x:c r="K57" s="42"/>
      <x:c r="L57" s="37"/>
      <x:c r="M57" s="44"/>
      <x:c r="N57" s="37"/>
      <x:c r="O57" s="42"/>
      <x:c r="P57" s="37"/>
    </x:row>
    <x:row r="58">
      <x:c r="A58" s="37"/>
      <x:c r="B58" s="59" t="str">
        <x:f>IF(C58="","","LEAD-"&amp;TEXT(C58,"yymmdd")&amp;"-"&amp;TEXT(ROW()-5,"0000"))</x:f>
      </x:c>
      <x:c r="C58" s="42"/>
      <x:c r="D58" s="37"/>
      <x:c r="E58" s="37"/>
      <x:c r="F58" s="37"/>
      <x:c r="G58" s="37"/>
      <x:c r="H58" s="37"/>
      <x:c r="I58" s="37"/>
      <x:c r="J58" s="37"/>
      <x:c r="K58" s="42"/>
      <x:c r="L58" s="37"/>
      <x:c r="M58" s="44"/>
      <x:c r="N58" s="37"/>
      <x:c r="O58" s="42"/>
      <x:c r="P58" s="37"/>
    </x:row>
    <x:row r="59">
      <x:c r="A59" s="37"/>
      <x:c r="B59" s="59" t="str">
        <x:f>IF(C59="","","LEAD-"&amp;TEXT(C59,"yymmdd")&amp;"-"&amp;TEXT(ROW()-5,"0000"))</x:f>
      </x:c>
      <x:c r="C59" s="42"/>
      <x:c r="D59" s="37"/>
      <x:c r="E59" s="37"/>
      <x:c r="F59" s="37"/>
      <x:c r="G59" s="37"/>
      <x:c r="H59" s="37"/>
      <x:c r="I59" s="37"/>
      <x:c r="J59" s="37"/>
      <x:c r="K59" s="42"/>
      <x:c r="L59" s="37"/>
      <x:c r="M59" s="44"/>
      <x:c r="N59" s="37"/>
      <x:c r="O59" s="42"/>
      <x:c r="P59" s="37"/>
    </x:row>
    <x:row r="60">
      <x:c r="A60" s="37"/>
      <x:c r="B60" s="59" t="str">
        <x:f>IF(C60="","","LEAD-"&amp;TEXT(C60,"yymmdd")&amp;"-"&amp;TEXT(ROW()-5,"0000"))</x:f>
      </x:c>
      <x:c r="C60" s="42"/>
      <x:c r="D60" s="37"/>
      <x:c r="E60" s="37"/>
      <x:c r="F60" s="37"/>
      <x:c r="G60" s="37"/>
      <x:c r="H60" s="37"/>
      <x:c r="I60" s="37"/>
      <x:c r="J60" s="37"/>
      <x:c r="K60" s="42"/>
      <x:c r="L60" s="37"/>
      <x:c r="M60" s="44"/>
      <x:c r="N60" s="37"/>
      <x:c r="O60" s="42"/>
      <x:c r="P60" s="37"/>
    </x:row>
    <x:row r="61">
      <x:c r="A61" s="37"/>
      <x:c r="B61" s="59" t="str">
        <x:f>IF(C61="","","LEAD-"&amp;TEXT(C61,"yymmdd")&amp;"-"&amp;TEXT(ROW()-5,"0000"))</x:f>
      </x:c>
      <x:c r="C61" s="42"/>
      <x:c r="D61" s="37"/>
      <x:c r="E61" s="37"/>
      <x:c r="F61" s="37"/>
      <x:c r="G61" s="37"/>
      <x:c r="H61" s="37"/>
      <x:c r="I61" s="37"/>
      <x:c r="J61" s="37"/>
      <x:c r="K61" s="42"/>
      <x:c r="L61" s="37"/>
      <x:c r="M61" s="44"/>
      <x:c r="N61" s="37"/>
      <x:c r="O61" s="42"/>
      <x:c r="P61" s="37"/>
    </x:row>
    <x:row r="62">
      <x:c r="A62" s="37"/>
      <x:c r="B62" s="59" t="str">
        <x:f>IF(C62="","","LEAD-"&amp;TEXT(C62,"yymmdd")&amp;"-"&amp;TEXT(ROW()-5,"0000"))</x:f>
      </x:c>
      <x:c r="C62" s="42"/>
      <x:c r="D62" s="37"/>
      <x:c r="E62" s="37"/>
      <x:c r="F62" s="37"/>
      <x:c r="G62" s="37"/>
      <x:c r="H62" s="37"/>
      <x:c r="I62" s="37"/>
      <x:c r="J62" s="37"/>
      <x:c r="K62" s="42"/>
      <x:c r="L62" s="37"/>
      <x:c r="M62" s="44"/>
      <x:c r="N62" s="37"/>
      <x:c r="O62" s="42"/>
      <x:c r="P62" s="37"/>
    </x:row>
    <x:row r="63">
      <x:c r="A63" s="37"/>
      <x:c r="B63" s="59" t="str">
        <x:f>IF(C63="","","LEAD-"&amp;TEXT(C63,"yymmdd")&amp;"-"&amp;TEXT(ROW()-5,"0000"))</x:f>
      </x:c>
      <x:c r="C63" s="42"/>
      <x:c r="D63" s="37"/>
      <x:c r="E63" s="37"/>
      <x:c r="F63" s="37"/>
      <x:c r="G63" s="37"/>
      <x:c r="H63" s="37"/>
      <x:c r="I63" s="37"/>
      <x:c r="J63" s="37"/>
      <x:c r="K63" s="42"/>
      <x:c r="L63" s="37"/>
      <x:c r="M63" s="44"/>
      <x:c r="N63" s="37"/>
      <x:c r="O63" s="42"/>
      <x:c r="P63" s="37"/>
    </x:row>
    <x:row r="64">
      <x:c r="A64" s="37"/>
      <x:c r="B64" s="59" t="str">
        <x:f>IF(C64="","","LEAD-"&amp;TEXT(C64,"yymmdd")&amp;"-"&amp;TEXT(ROW()-5,"0000"))</x:f>
      </x:c>
      <x:c r="C64" s="42"/>
      <x:c r="D64" s="37"/>
      <x:c r="E64" s="37"/>
      <x:c r="F64" s="37"/>
      <x:c r="G64" s="37"/>
      <x:c r="H64" s="37"/>
      <x:c r="I64" s="37"/>
      <x:c r="J64" s="37"/>
      <x:c r="K64" s="42"/>
      <x:c r="L64" s="37"/>
      <x:c r="M64" s="44"/>
      <x:c r="N64" s="37"/>
      <x:c r="O64" s="42"/>
      <x:c r="P64" s="37"/>
    </x:row>
    <x:row r="65">
      <x:c r="A65" s="37"/>
      <x:c r="B65" s="59" t="str">
        <x:f>IF(C65="","","LEAD-"&amp;TEXT(C65,"yymmdd")&amp;"-"&amp;TEXT(ROW()-5,"0000"))</x:f>
      </x:c>
      <x:c r="C65" s="42"/>
      <x:c r="D65" s="37"/>
      <x:c r="E65" s="37"/>
      <x:c r="F65" s="37"/>
      <x:c r="G65" s="37"/>
      <x:c r="H65" s="37"/>
      <x:c r="I65" s="37"/>
      <x:c r="J65" s="37"/>
      <x:c r="K65" s="42"/>
      <x:c r="L65" s="37"/>
      <x:c r="M65" s="44"/>
      <x:c r="N65" s="37"/>
      <x:c r="O65" s="42"/>
      <x:c r="P65" s="37"/>
    </x:row>
    <x:row r="66">
      <x:c r="A66" s="37"/>
      <x:c r="B66" s="59" t="str">
        <x:f>IF(C66="","","LEAD-"&amp;TEXT(C66,"yymmdd")&amp;"-"&amp;TEXT(ROW()-5,"0000"))</x:f>
      </x:c>
      <x:c r="C66" s="42"/>
      <x:c r="D66" s="37"/>
      <x:c r="E66" s="37"/>
      <x:c r="F66" s="37"/>
      <x:c r="G66" s="37"/>
      <x:c r="H66" s="37"/>
      <x:c r="I66" s="37"/>
      <x:c r="J66" s="37"/>
      <x:c r="K66" s="42"/>
      <x:c r="L66" s="37"/>
      <x:c r="M66" s="44"/>
      <x:c r="N66" s="37"/>
      <x:c r="O66" s="42"/>
      <x:c r="P66" s="37"/>
    </x:row>
    <x:row r="67">
      <x:c r="A67" s="37"/>
      <x:c r="B67" s="59" t="str">
        <x:f>IF(C67="","","LEAD-"&amp;TEXT(C67,"yymmdd")&amp;"-"&amp;TEXT(ROW()-5,"0000"))</x:f>
      </x:c>
      <x:c r="C67" s="42"/>
      <x:c r="D67" s="37"/>
      <x:c r="E67" s="37"/>
      <x:c r="F67" s="37"/>
      <x:c r="G67" s="37"/>
      <x:c r="H67" s="37"/>
      <x:c r="I67" s="37"/>
      <x:c r="J67" s="37"/>
      <x:c r="K67" s="42"/>
      <x:c r="L67" s="37"/>
      <x:c r="M67" s="44"/>
      <x:c r="N67" s="37"/>
      <x:c r="O67" s="42"/>
      <x:c r="P67" s="37"/>
    </x:row>
    <x:row r="68">
      <x:c r="A68" s="37"/>
      <x:c r="B68" s="59" t="str">
        <x:f>IF(C68="","","LEAD-"&amp;TEXT(C68,"yymmdd")&amp;"-"&amp;TEXT(ROW()-5,"0000"))</x:f>
      </x:c>
      <x:c r="C68" s="42"/>
      <x:c r="D68" s="37"/>
      <x:c r="E68" s="37"/>
      <x:c r="F68" s="37"/>
      <x:c r="G68" s="37"/>
      <x:c r="H68" s="37"/>
      <x:c r="I68" s="37"/>
      <x:c r="J68" s="37"/>
      <x:c r="K68" s="42"/>
      <x:c r="L68" s="37"/>
      <x:c r="M68" s="44"/>
      <x:c r="N68" s="37"/>
      <x:c r="O68" s="42"/>
      <x:c r="P68" s="37"/>
    </x:row>
    <x:row r="69">
      <x:c r="A69" s="37"/>
      <x:c r="B69" s="59" t="str">
        <x:f>IF(C69="","","LEAD-"&amp;TEXT(C69,"yymmdd")&amp;"-"&amp;TEXT(ROW()-5,"0000"))</x:f>
      </x:c>
      <x:c r="C69" s="42"/>
      <x:c r="D69" s="37"/>
      <x:c r="E69" s="37"/>
      <x:c r="F69" s="37"/>
      <x:c r="G69" s="37"/>
      <x:c r="H69" s="37"/>
      <x:c r="I69" s="37"/>
      <x:c r="J69" s="37"/>
      <x:c r="K69" s="42"/>
      <x:c r="L69" s="37"/>
      <x:c r="M69" s="44"/>
      <x:c r="N69" s="37"/>
      <x:c r="O69" s="42"/>
      <x:c r="P69" s="37"/>
    </x:row>
    <x:row r="70">
      <x:c r="A70" s="37"/>
      <x:c r="B70" s="59" t="str">
        <x:f>IF(C70="","","LEAD-"&amp;TEXT(C70,"yymmdd")&amp;"-"&amp;TEXT(ROW()-5,"0000"))</x:f>
      </x:c>
      <x:c r="C70" s="42"/>
      <x:c r="D70" s="37"/>
      <x:c r="E70" s="37"/>
      <x:c r="F70" s="37"/>
      <x:c r="G70" s="37"/>
      <x:c r="H70" s="37"/>
      <x:c r="I70" s="37"/>
      <x:c r="J70" s="37"/>
      <x:c r="K70" s="42"/>
      <x:c r="L70" s="37"/>
      <x:c r="M70" s="44"/>
      <x:c r="N70" s="37"/>
      <x:c r="O70" s="42"/>
      <x:c r="P70" s="37"/>
    </x:row>
    <x:row r="71">
      <x:c r="A71" s="37"/>
      <x:c r="B71" s="59" t="str">
        <x:f>IF(C71="","","LEAD-"&amp;TEXT(C71,"yymmdd")&amp;"-"&amp;TEXT(ROW()-5,"0000"))</x:f>
      </x:c>
      <x:c r="C71" s="42"/>
      <x:c r="D71" s="37"/>
      <x:c r="E71" s="37"/>
      <x:c r="F71" s="37"/>
      <x:c r="G71" s="37"/>
      <x:c r="H71" s="37"/>
      <x:c r="I71" s="37"/>
      <x:c r="J71" s="37"/>
      <x:c r="K71" s="42"/>
      <x:c r="L71" s="37"/>
      <x:c r="M71" s="44"/>
      <x:c r="N71" s="37"/>
      <x:c r="O71" s="42"/>
      <x:c r="P71" s="37"/>
    </x:row>
    <x:row r="72">
      <x:c r="A72" s="37"/>
      <x:c r="B72" s="59" t="str">
        <x:f>IF(C72="","","LEAD-"&amp;TEXT(C72,"yymmdd")&amp;"-"&amp;TEXT(ROW()-5,"0000"))</x:f>
      </x:c>
      <x:c r="C72" s="42"/>
      <x:c r="D72" s="37"/>
      <x:c r="E72" s="37"/>
      <x:c r="F72" s="37"/>
      <x:c r="G72" s="37"/>
      <x:c r="H72" s="37"/>
      <x:c r="I72" s="37"/>
      <x:c r="J72" s="37"/>
      <x:c r="K72" s="42"/>
      <x:c r="L72" s="37"/>
      <x:c r="M72" s="44"/>
      <x:c r="N72" s="37"/>
      <x:c r="O72" s="42"/>
      <x:c r="P72" s="37"/>
    </x:row>
    <x:row r="73">
      <x:c r="A73" s="37"/>
      <x:c r="B73" s="59" t="str">
        <x:f>IF(C73="","","LEAD-"&amp;TEXT(C73,"yymmdd")&amp;"-"&amp;TEXT(ROW()-5,"0000"))</x:f>
      </x:c>
      <x:c r="C73" s="42"/>
      <x:c r="D73" s="37"/>
      <x:c r="E73" s="37"/>
      <x:c r="F73" s="37"/>
      <x:c r="G73" s="37"/>
      <x:c r="H73" s="37"/>
      <x:c r="I73" s="37"/>
      <x:c r="J73" s="37"/>
      <x:c r="K73" s="42"/>
      <x:c r="L73" s="37"/>
      <x:c r="M73" s="44"/>
      <x:c r="N73" s="37"/>
      <x:c r="O73" s="42"/>
      <x:c r="P73" s="37"/>
    </x:row>
    <x:row r="74">
      <x:c r="A74" s="37"/>
      <x:c r="B74" s="59" t="str">
        <x:f>IF(C74="","","LEAD-"&amp;TEXT(C74,"yymmdd")&amp;"-"&amp;TEXT(ROW()-5,"0000"))</x:f>
      </x:c>
      <x:c r="C74" s="42"/>
      <x:c r="D74" s="37"/>
      <x:c r="E74" s="37"/>
      <x:c r="F74" s="37"/>
      <x:c r="G74" s="37"/>
      <x:c r="H74" s="37"/>
      <x:c r="I74" s="37"/>
      <x:c r="J74" s="37"/>
      <x:c r="K74" s="42"/>
      <x:c r="L74" s="37"/>
      <x:c r="M74" s="44"/>
      <x:c r="N74" s="37"/>
      <x:c r="O74" s="42"/>
      <x:c r="P74" s="37"/>
    </x:row>
    <x:row r="75">
      <x:c r="A75" s="37"/>
      <x:c r="B75" s="59" t="str">
        <x:f>IF(C75="","","LEAD-"&amp;TEXT(C75,"yymmdd")&amp;"-"&amp;TEXT(ROW()-5,"0000"))</x:f>
      </x:c>
      <x:c r="C75" s="42"/>
      <x:c r="D75" s="37"/>
      <x:c r="E75" s="37"/>
      <x:c r="F75" s="37"/>
      <x:c r="G75" s="37"/>
      <x:c r="H75" s="37"/>
      <x:c r="I75" s="37"/>
      <x:c r="J75" s="37"/>
      <x:c r="K75" s="42"/>
      <x:c r="L75" s="37"/>
      <x:c r="M75" s="44"/>
      <x:c r="N75" s="37"/>
      <x:c r="O75" s="42"/>
      <x:c r="P75" s="37"/>
    </x:row>
    <x:row r="76">
      <x:c r="A76" s="37"/>
      <x:c r="B76" s="59" t="str">
        <x:f>IF(C76="","","LEAD-"&amp;TEXT(C76,"yymmdd")&amp;"-"&amp;TEXT(ROW()-5,"0000"))</x:f>
      </x:c>
      <x:c r="C76" s="42"/>
      <x:c r="D76" s="37"/>
      <x:c r="E76" s="37"/>
      <x:c r="F76" s="37"/>
      <x:c r="G76" s="37"/>
      <x:c r="H76" s="37"/>
      <x:c r="I76" s="37"/>
      <x:c r="J76" s="37"/>
      <x:c r="K76" s="42"/>
      <x:c r="L76" s="37"/>
      <x:c r="M76" s="44"/>
      <x:c r="N76" s="37"/>
      <x:c r="O76" s="42"/>
      <x:c r="P76" s="37"/>
    </x:row>
    <x:row r="77">
      <x:c r="A77" s="37"/>
      <x:c r="B77" s="59" t="str">
        <x:f>IF(C77="","","LEAD-"&amp;TEXT(C77,"yymmdd")&amp;"-"&amp;TEXT(ROW()-5,"0000"))</x:f>
      </x:c>
      <x:c r="C77" s="42"/>
      <x:c r="D77" s="37"/>
      <x:c r="E77" s="37"/>
      <x:c r="F77" s="37"/>
      <x:c r="G77" s="37"/>
      <x:c r="H77" s="37"/>
      <x:c r="I77" s="37"/>
      <x:c r="J77" s="37"/>
      <x:c r="K77" s="42"/>
      <x:c r="L77" s="37"/>
      <x:c r="M77" s="44"/>
      <x:c r="N77" s="37"/>
      <x:c r="O77" s="42"/>
      <x:c r="P77" s="37"/>
    </x:row>
    <x:row r="78">
      <x:c r="A78" s="37"/>
      <x:c r="B78" s="59" t="str">
        <x:f>IF(C78="","","LEAD-"&amp;TEXT(C78,"yymmdd")&amp;"-"&amp;TEXT(ROW()-5,"0000"))</x:f>
      </x:c>
      <x:c r="C78" s="42"/>
      <x:c r="D78" s="37"/>
      <x:c r="E78" s="37"/>
      <x:c r="F78" s="37"/>
      <x:c r="G78" s="37"/>
      <x:c r="H78" s="37"/>
      <x:c r="I78" s="37"/>
      <x:c r="J78" s="37"/>
      <x:c r="K78" s="42"/>
      <x:c r="L78" s="37"/>
      <x:c r="M78" s="44"/>
      <x:c r="N78" s="37"/>
      <x:c r="O78" s="42"/>
      <x:c r="P78" s="37"/>
    </x:row>
    <x:row r="79">
      <x:c r="A79" s="37"/>
      <x:c r="B79" s="59" t="str">
        <x:f>IF(C79="","","LEAD-"&amp;TEXT(C79,"yymmdd")&amp;"-"&amp;TEXT(ROW()-5,"0000"))</x:f>
      </x:c>
      <x:c r="C79" s="42"/>
      <x:c r="D79" s="37"/>
      <x:c r="E79" s="37"/>
      <x:c r="F79" s="37"/>
      <x:c r="G79" s="37"/>
      <x:c r="H79" s="37"/>
      <x:c r="I79" s="37"/>
      <x:c r="J79" s="37"/>
      <x:c r="K79" s="42"/>
      <x:c r="L79" s="37"/>
      <x:c r="M79" s="44"/>
      <x:c r="N79" s="37"/>
      <x:c r="O79" s="42"/>
      <x:c r="P79" s="37"/>
    </x:row>
    <x:row r="80">
      <x:c r="A80" s="37"/>
      <x:c r="B80" s="59" t="str">
        <x:f>IF(C80="","","LEAD-"&amp;TEXT(C80,"yymmdd")&amp;"-"&amp;TEXT(ROW()-5,"0000"))</x:f>
      </x:c>
      <x:c r="C80" s="42"/>
      <x:c r="D80" s="37"/>
      <x:c r="E80" s="37"/>
      <x:c r="F80" s="37"/>
      <x:c r="G80" s="37"/>
      <x:c r="H80" s="37"/>
      <x:c r="I80" s="37"/>
      <x:c r="J80" s="37"/>
      <x:c r="K80" s="42"/>
      <x:c r="L80" s="37"/>
      <x:c r="M80" s="44"/>
      <x:c r="N80" s="37"/>
      <x:c r="O80" s="42"/>
      <x:c r="P80" s="37"/>
    </x:row>
    <x:row r="81">
      <x:c r="A81" s="37"/>
      <x:c r="B81" s="59" t="str">
        <x:f>IF(C81="","","LEAD-"&amp;TEXT(C81,"yymmdd")&amp;"-"&amp;TEXT(ROW()-5,"0000"))</x:f>
      </x:c>
      <x:c r="C81" s="42"/>
      <x:c r="D81" s="37"/>
      <x:c r="E81" s="37"/>
      <x:c r="F81" s="37"/>
      <x:c r="G81" s="37"/>
      <x:c r="H81" s="37"/>
      <x:c r="I81" s="37"/>
      <x:c r="J81" s="37"/>
      <x:c r="K81" s="42"/>
      <x:c r="L81" s="37"/>
      <x:c r="M81" s="44"/>
      <x:c r="N81" s="37"/>
      <x:c r="O81" s="42"/>
      <x:c r="P81" s="37"/>
    </x:row>
    <x:row r="82">
      <x:c r="A82" s="37"/>
      <x:c r="B82" s="59" t="str">
        <x:f>IF(C82="","","LEAD-"&amp;TEXT(C82,"yymmdd")&amp;"-"&amp;TEXT(ROW()-5,"0000"))</x:f>
      </x:c>
      <x:c r="C82" s="42"/>
      <x:c r="D82" s="37"/>
      <x:c r="E82" s="37"/>
      <x:c r="F82" s="37"/>
      <x:c r="G82" s="37"/>
      <x:c r="H82" s="37"/>
      <x:c r="I82" s="37"/>
      <x:c r="J82" s="37"/>
      <x:c r="K82" s="42"/>
      <x:c r="L82" s="37"/>
      <x:c r="M82" s="44"/>
      <x:c r="N82" s="37"/>
      <x:c r="O82" s="42"/>
      <x:c r="P82" s="37"/>
    </x:row>
    <x:row r="83">
      <x:c r="A83" s="37"/>
      <x:c r="B83" s="59" t="str">
        <x:f>IF(C83="","","LEAD-"&amp;TEXT(C83,"yymmdd")&amp;"-"&amp;TEXT(ROW()-5,"0000"))</x:f>
      </x:c>
      <x:c r="C83" s="42"/>
      <x:c r="D83" s="37"/>
      <x:c r="E83" s="37"/>
      <x:c r="F83" s="37"/>
      <x:c r="G83" s="37"/>
      <x:c r="H83" s="37"/>
      <x:c r="I83" s="37"/>
      <x:c r="J83" s="37"/>
      <x:c r="K83" s="42"/>
      <x:c r="L83" s="37"/>
      <x:c r="M83" s="44"/>
      <x:c r="N83" s="37"/>
      <x:c r="O83" s="42"/>
      <x:c r="P83" s="37"/>
    </x:row>
    <x:row r="84">
      <x:c r="A84" s="37"/>
      <x:c r="B84" s="59" t="str">
        <x:f>IF(C84="","","LEAD-"&amp;TEXT(C84,"yymmdd")&amp;"-"&amp;TEXT(ROW()-5,"0000"))</x:f>
      </x:c>
      <x:c r="C84" s="42"/>
      <x:c r="D84" s="37"/>
      <x:c r="E84" s="37"/>
      <x:c r="F84" s="37"/>
      <x:c r="G84" s="37"/>
      <x:c r="H84" s="37"/>
      <x:c r="I84" s="37"/>
      <x:c r="J84" s="37"/>
      <x:c r="K84" s="42"/>
      <x:c r="L84" s="37"/>
      <x:c r="M84" s="44"/>
      <x:c r="N84" s="37"/>
      <x:c r="O84" s="42"/>
      <x:c r="P84" s="37"/>
    </x:row>
    <x:row r="85">
      <x:c r="A85" s="37"/>
      <x:c r="B85" s="59" t="str">
        <x:f>IF(C85="","","LEAD-"&amp;TEXT(C85,"yymmdd")&amp;"-"&amp;TEXT(ROW()-5,"0000"))</x:f>
      </x:c>
      <x:c r="C85" s="42"/>
      <x:c r="D85" s="37"/>
      <x:c r="E85" s="37"/>
      <x:c r="F85" s="37"/>
      <x:c r="G85" s="37"/>
      <x:c r="H85" s="37"/>
      <x:c r="I85" s="37"/>
      <x:c r="J85" s="37"/>
      <x:c r="K85" s="42"/>
      <x:c r="L85" s="37"/>
      <x:c r="M85" s="44"/>
      <x:c r="N85" s="37"/>
      <x:c r="O85" s="42"/>
      <x:c r="P85" s="37"/>
    </x:row>
    <x:row r="86">
      <x:c r="A86" s="37"/>
      <x:c r="B86" s="59" t="str">
        <x:f>IF(C86="","","LEAD-"&amp;TEXT(C86,"yymmdd")&amp;"-"&amp;TEXT(ROW()-5,"0000"))</x:f>
      </x:c>
      <x:c r="C86" s="42"/>
      <x:c r="D86" s="37"/>
      <x:c r="E86" s="37"/>
      <x:c r="F86" s="37"/>
      <x:c r="G86" s="37"/>
      <x:c r="H86" s="37"/>
      <x:c r="I86" s="37"/>
      <x:c r="J86" s="37"/>
      <x:c r="K86" s="42"/>
      <x:c r="L86" s="37"/>
      <x:c r="M86" s="44"/>
      <x:c r="N86" s="37"/>
      <x:c r="O86" s="42"/>
      <x:c r="P86" s="37"/>
    </x:row>
    <x:row r="87">
      <x:c r="A87" s="37"/>
      <x:c r="B87" s="59" t="str">
        <x:f>IF(C87="","","LEAD-"&amp;TEXT(C87,"yymmdd")&amp;"-"&amp;TEXT(ROW()-5,"0000"))</x:f>
      </x:c>
      <x:c r="C87" s="42"/>
      <x:c r="D87" s="37"/>
      <x:c r="E87" s="37"/>
      <x:c r="F87" s="37"/>
      <x:c r="G87" s="37"/>
      <x:c r="H87" s="37"/>
      <x:c r="I87" s="37"/>
      <x:c r="J87" s="37"/>
      <x:c r="K87" s="42"/>
      <x:c r="L87" s="37"/>
      <x:c r="M87" s="44"/>
      <x:c r="N87" s="37"/>
      <x:c r="O87" s="42"/>
      <x:c r="P87" s="37"/>
    </x:row>
    <x:row r="88">
      <x:c r="A88" s="37"/>
      <x:c r="B88" s="59" t="str">
        <x:f>IF(C88="","","LEAD-"&amp;TEXT(C88,"yymmdd")&amp;"-"&amp;TEXT(ROW()-5,"0000"))</x:f>
      </x:c>
      <x:c r="C88" s="42"/>
      <x:c r="D88" s="37"/>
      <x:c r="E88" s="37"/>
      <x:c r="F88" s="37"/>
      <x:c r="G88" s="37"/>
      <x:c r="H88" s="37"/>
      <x:c r="I88" s="37"/>
      <x:c r="J88" s="37"/>
      <x:c r="K88" s="42"/>
      <x:c r="L88" s="37"/>
      <x:c r="M88" s="44"/>
      <x:c r="N88" s="37"/>
      <x:c r="O88" s="42"/>
      <x:c r="P88" s="37"/>
    </x:row>
    <x:row r="89">
      <x:c r="A89" s="37"/>
      <x:c r="B89" s="59" t="str">
        <x:f>IF(C89="","","LEAD-"&amp;TEXT(C89,"yymmdd")&amp;"-"&amp;TEXT(ROW()-5,"0000"))</x:f>
      </x:c>
      <x:c r="C89" s="42"/>
      <x:c r="D89" s="37"/>
      <x:c r="E89" s="37"/>
      <x:c r="F89" s="37"/>
      <x:c r="G89" s="37"/>
      <x:c r="H89" s="37"/>
      <x:c r="I89" s="37"/>
      <x:c r="J89" s="37"/>
      <x:c r="K89" s="42"/>
      <x:c r="L89" s="37"/>
      <x:c r="M89" s="44"/>
      <x:c r="N89" s="37"/>
      <x:c r="O89" s="42"/>
      <x:c r="P89" s="37"/>
    </x:row>
    <x:row r="90">
      <x:c r="A90" s="37"/>
      <x:c r="B90" s="59" t="str">
        <x:f>IF(C90="","","LEAD-"&amp;TEXT(C90,"yymmdd")&amp;"-"&amp;TEXT(ROW()-5,"0000"))</x:f>
      </x:c>
      <x:c r="C90" s="42"/>
      <x:c r="D90" s="37"/>
      <x:c r="E90" s="37"/>
      <x:c r="F90" s="37"/>
      <x:c r="G90" s="37"/>
      <x:c r="H90" s="37"/>
      <x:c r="I90" s="37"/>
      <x:c r="J90" s="37"/>
      <x:c r="K90" s="42"/>
      <x:c r="L90" s="37"/>
      <x:c r="M90" s="44"/>
      <x:c r="N90" s="37"/>
      <x:c r="O90" s="42"/>
      <x:c r="P90" s="37"/>
    </x:row>
    <x:row r="91">
      <x:c r="A91" s="37"/>
      <x:c r="B91" s="59" t="str">
        <x:f>IF(C91="","","LEAD-"&amp;TEXT(C91,"yymmdd")&amp;"-"&amp;TEXT(ROW()-5,"0000"))</x:f>
      </x:c>
      <x:c r="C91" s="42"/>
      <x:c r="D91" s="37"/>
      <x:c r="E91" s="37"/>
      <x:c r="F91" s="37"/>
      <x:c r="G91" s="37"/>
      <x:c r="H91" s="37"/>
      <x:c r="I91" s="37"/>
      <x:c r="J91" s="37"/>
      <x:c r="K91" s="42"/>
      <x:c r="L91" s="37"/>
      <x:c r="M91" s="44"/>
      <x:c r="N91" s="37"/>
      <x:c r="O91" s="42"/>
      <x:c r="P91" s="37"/>
    </x:row>
    <x:row r="92">
      <x:c r="A92" s="37"/>
      <x:c r="B92" s="59" t="str">
        <x:f>IF(C92="","","LEAD-"&amp;TEXT(C92,"yymmdd")&amp;"-"&amp;TEXT(ROW()-5,"0000"))</x:f>
      </x:c>
      <x:c r="C92" s="42"/>
      <x:c r="D92" s="37"/>
      <x:c r="E92" s="37"/>
      <x:c r="F92" s="37"/>
      <x:c r="G92" s="37"/>
      <x:c r="H92" s="37"/>
      <x:c r="I92" s="37"/>
      <x:c r="J92" s="37"/>
      <x:c r="K92" s="42"/>
      <x:c r="L92" s="37"/>
      <x:c r="M92" s="44"/>
      <x:c r="N92" s="37"/>
      <x:c r="O92" s="42"/>
      <x:c r="P92" s="37"/>
    </x:row>
    <x:row r="93">
      <x:c r="A93" s="37"/>
      <x:c r="B93" s="59" t="str">
        <x:f>IF(C93="","","LEAD-"&amp;TEXT(C93,"yymmdd")&amp;"-"&amp;TEXT(ROW()-5,"0000"))</x:f>
      </x:c>
      <x:c r="C93" s="42"/>
      <x:c r="D93" s="37"/>
      <x:c r="E93" s="37"/>
      <x:c r="F93" s="37"/>
      <x:c r="G93" s="37"/>
      <x:c r="H93" s="37"/>
      <x:c r="I93" s="37"/>
      <x:c r="J93" s="37"/>
      <x:c r="K93" s="42"/>
      <x:c r="L93" s="37"/>
      <x:c r="M93" s="44"/>
      <x:c r="N93" s="37"/>
      <x:c r="O93" s="42"/>
      <x:c r="P93" s="37"/>
    </x:row>
    <x:row r="94">
      <x:c r="A94" s="37"/>
      <x:c r="B94" s="59" t="str">
        <x:f>IF(C94="","","LEAD-"&amp;TEXT(C94,"yymmdd")&amp;"-"&amp;TEXT(ROW()-5,"0000"))</x:f>
      </x:c>
      <x:c r="C94" s="42"/>
      <x:c r="D94" s="37"/>
      <x:c r="E94" s="37"/>
      <x:c r="F94" s="37"/>
      <x:c r="G94" s="37"/>
      <x:c r="H94" s="37"/>
      <x:c r="I94" s="37"/>
      <x:c r="J94" s="37"/>
      <x:c r="K94" s="42"/>
      <x:c r="L94" s="37"/>
      <x:c r="M94" s="44"/>
      <x:c r="N94" s="37"/>
      <x:c r="O94" s="42"/>
      <x:c r="P94" s="37"/>
    </x:row>
    <x:row r="95">
      <x:c r="A95" s="37"/>
      <x:c r="B95" s="59" t="str">
        <x:f>IF(C95="","","LEAD-"&amp;TEXT(C95,"yymmdd")&amp;"-"&amp;TEXT(ROW()-5,"0000"))</x:f>
      </x:c>
      <x:c r="C95" s="42"/>
      <x:c r="D95" s="37"/>
      <x:c r="E95" s="37"/>
      <x:c r="F95" s="37"/>
      <x:c r="G95" s="37"/>
      <x:c r="H95" s="37"/>
      <x:c r="I95" s="37"/>
      <x:c r="J95" s="37"/>
      <x:c r="K95" s="42"/>
      <x:c r="L95" s="37"/>
      <x:c r="M95" s="44"/>
      <x:c r="N95" s="37"/>
      <x:c r="O95" s="42"/>
      <x:c r="P95" s="37"/>
    </x:row>
    <x:row r="96">
      <x:c r="A96" s="37"/>
      <x:c r="B96" s="59" t="str">
        <x:f>IF(C96="","","LEAD-"&amp;TEXT(C96,"yymmdd")&amp;"-"&amp;TEXT(ROW()-5,"0000"))</x:f>
      </x:c>
      <x:c r="C96" s="42"/>
      <x:c r="D96" s="37"/>
      <x:c r="E96" s="37"/>
      <x:c r="F96" s="37"/>
      <x:c r="G96" s="37"/>
      <x:c r="H96" s="37"/>
      <x:c r="I96" s="37"/>
      <x:c r="J96" s="37"/>
      <x:c r="K96" s="42"/>
      <x:c r="L96" s="37"/>
      <x:c r="M96" s="44"/>
      <x:c r="N96" s="37"/>
      <x:c r="O96" s="42"/>
      <x:c r="P96" s="37"/>
    </x:row>
    <x:row r="97">
      <x:c r="A97" s="37"/>
      <x:c r="B97" s="59" t="str">
        <x:f>IF(C97="","","LEAD-"&amp;TEXT(C97,"yymmdd")&amp;"-"&amp;TEXT(ROW()-5,"0000"))</x:f>
      </x:c>
      <x:c r="C97" s="42"/>
      <x:c r="D97" s="37"/>
      <x:c r="E97" s="37"/>
      <x:c r="F97" s="37"/>
      <x:c r="G97" s="37"/>
      <x:c r="H97" s="37"/>
      <x:c r="I97" s="37"/>
      <x:c r="J97" s="37"/>
      <x:c r="K97" s="42"/>
      <x:c r="L97" s="37"/>
      <x:c r="M97" s="44"/>
      <x:c r="N97" s="37"/>
      <x:c r="O97" s="42"/>
      <x:c r="P97" s="37"/>
    </x:row>
    <x:row r="98">
      <x:c r="A98" s="37"/>
      <x:c r="B98" s="59" t="str">
        <x:f>IF(C98="","","LEAD-"&amp;TEXT(C98,"yymmdd")&amp;"-"&amp;TEXT(ROW()-5,"0000"))</x:f>
      </x:c>
      <x:c r="C98" s="42"/>
      <x:c r="D98" s="37"/>
      <x:c r="E98" s="37"/>
      <x:c r="F98" s="37"/>
      <x:c r="G98" s="37"/>
      <x:c r="H98" s="37"/>
      <x:c r="I98" s="37"/>
      <x:c r="J98" s="37"/>
      <x:c r="K98" s="42"/>
      <x:c r="L98" s="37"/>
      <x:c r="M98" s="44"/>
      <x:c r="N98" s="37"/>
      <x:c r="O98" s="42"/>
      <x:c r="P98" s="37"/>
    </x:row>
    <x:row r="99">
      <x:c r="A99" s="37"/>
      <x:c r="B99" s="59" t="str">
        <x:f>IF(C99="","","LEAD-"&amp;TEXT(C99,"yymmdd")&amp;"-"&amp;TEXT(ROW()-5,"0000"))</x:f>
      </x:c>
      <x:c r="C99" s="42"/>
      <x:c r="D99" s="37"/>
      <x:c r="E99" s="37"/>
      <x:c r="F99" s="37"/>
      <x:c r="G99" s="37"/>
      <x:c r="H99" s="37"/>
      <x:c r="I99" s="37"/>
      <x:c r="J99" s="37"/>
      <x:c r="K99" s="42"/>
      <x:c r="L99" s="37"/>
      <x:c r="M99" s="44"/>
      <x:c r="N99" s="37"/>
      <x:c r="O99" s="42"/>
      <x:c r="P99" s="37"/>
    </x:row>
    <x:row r="100">
      <x:c r="A100" s="37"/>
      <x:c r="B100" s="59" t="str">
        <x:f>IF(C100="","","LEAD-"&amp;TEXT(C100,"yymmdd")&amp;"-"&amp;TEXT(ROW()-5,"0000"))</x:f>
      </x:c>
      <x:c r="C100" s="42"/>
      <x:c r="D100" s="37"/>
      <x:c r="E100" s="37"/>
      <x:c r="F100" s="37"/>
      <x:c r="G100" s="37"/>
      <x:c r="H100" s="37"/>
      <x:c r="I100" s="37"/>
      <x:c r="J100" s="37"/>
      <x:c r="K100" s="42"/>
      <x:c r="L100" s="37"/>
      <x:c r="M100" s="44"/>
      <x:c r="N100" s="37"/>
      <x:c r="O100" s="42"/>
      <x:c r="P100" s="37"/>
    </x:row>
    <x:row r="101">
      <x:c r="A101" s="37"/>
      <x:c r="B101" s="59" t="str">
        <x:f>IF(C101="","","LEAD-"&amp;TEXT(C101,"yymmdd")&amp;"-"&amp;TEXT(ROW()-5,"0000"))</x:f>
      </x:c>
      <x:c r="C101" s="42"/>
      <x:c r="D101" s="37"/>
      <x:c r="E101" s="37"/>
      <x:c r="F101" s="37"/>
      <x:c r="G101" s="37"/>
      <x:c r="H101" s="37"/>
      <x:c r="I101" s="37"/>
      <x:c r="J101" s="37"/>
      <x:c r="K101" s="42"/>
      <x:c r="L101" s="37"/>
      <x:c r="M101" s="44"/>
      <x:c r="N101" s="37"/>
      <x:c r="O101" s="42"/>
      <x:c r="P101" s="37"/>
    </x:row>
    <x:row r="102">
      <x:c r="A102" s="37"/>
      <x:c r="B102" s="59" t="str">
        <x:f>IF(C102="","","LEAD-"&amp;TEXT(C102,"yymmdd")&amp;"-"&amp;TEXT(ROW()-5,"0000"))</x:f>
      </x:c>
      <x:c r="C102" s="42"/>
      <x:c r="D102" s="37"/>
      <x:c r="E102" s="37"/>
      <x:c r="F102" s="37"/>
      <x:c r="G102" s="37"/>
      <x:c r="H102" s="37"/>
      <x:c r="I102" s="37"/>
      <x:c r="J102" s="37"/>
      <x:c r="K102" s="42"/>
      <x:c r="L102" s="37"/>
      <x:c r="M102" s="44"/>
      <x:c r="N102" s="37"/>
      <x:c r="O102" s="42"/>
      <x:c r="P102" s="37"/>
    </x:row>
    <x:row r="103">
      <x:c r="A103" s="37"/>
      <x:c r="B103" s="59" t="str">
        <x:f>IF(C103="","","LEAD-"&amp;TEXT(C103,"yymmdd")&amp;"-"&amp;TEXT(ROW()-5,"0000"))</x:f>
      </x:c>
      <x:c r="C103" s="42"/>
      <x:c r="D103" s="37"/>
      <x:c r="E103" s="37"/>
      <x:c r="F103" s="37"/>
      <x:c r="G103" s="37"/>
      <x:c r="H103" s="37"/>
      <x:c r="I103" s="37"/>
      <x:c r="J103" s="37"/>
      <x:c r="K103" s="42"/>
      <x:c r="L103" s="37"/>
      <x:c r="M103" s="44"/>
      <x:c r="N103" s="37"/>
      <x:c r="O103" s="42"/>
      <x:c r="P103" s="37"/>
    </x:row>
    <x:row r="104">
      <x:c r="A104" s="37"/>
      <x:c r="B104" s="59" t="str">
        <x:f>IF(C104="","","LEAD-"&amp;TEXT(C104,"yymmdd")&amp;"-"&amp;TEXT(ROW()-5,"0000"))</x:f>
      </x:c>
      <x:c r="C104" s="42"/>
      <x:c r="D104" s="37"/>
      <x:c r="E104" s="37"/>
      <x:c r="F104" s="37"/>
      <x:c r="G104" s="37"/>
      <x:c r="H104" s="37"/>
      <x:c r="I104" s="37"/>
      <x:c r="J104" s="37"/>
      <x:c r="K104" s="42"/>
      <x:c r="L104" s="37"/>
      <x:c r="M104" s="44"/>
      <x:c r="N104" s="37"/>
      <x:c r="O104" s="42"/>
      <x:c r="P104" s="37"/>
    </x:row>
    <x:row r="105">
      <x:c r="A105" s="37"/>
      <x:c r="B105" s="59" t="str">
        <x:f>IF(C105="","","LEAD-"&amp;TEXT(C105,"yymmdd")&amp;"-"&amp;TEXT(ROW()-5,"0000"))</x:f>
      </x:c>
      <x:c r="C105" s="42"/>
      <x:c r="D105" s="37"/>
      <x:c r="E105" s="37"/>
      <x:c r="F105" s="37"/>
      <x:c r="G105" s="37"/>
      <x:c r="H105" s="37"/>
      <x:c r="I105" s="37"/>
      <x:c r="J105" s="37"/>
      <x:c r="K105" s="42"/>
      <x:c r="L105" s="37"/>
      <x:c r="M105" s="44"/>
      <x:c r="N105" s="37"/>
      <x:c r="O105" s="42"/>
      <x:c r="P105" s="37"/>
    </x:row>
  </x:sheetData>
  <x:mergeCells>
    <x:mergeCell ref="A1:P1"/>
    <x:mergeCell ref="A2:P2"/>
    <x:mergeCell ref="A4:P4"/>
  </x:mergeCells>
  <x:dataValidations count="7">
    <x:dataValidation type="list" sqref="A6:A105">
      <x:formula1>99_SETTINGS!$D$19:$D$20</x:formula1>
    </x:dataValidation>
    <x:dataValidation type="list" sqref="F6:F105">
      <x:formula1>99_SETTINGS!$L$5:$L$14</x:formula1>
    </x:dataValidation>
    <x:dataValidation type="list" sqref="G6:G105">
      <x:formula1>99_SETTINGS!$D$5:$D$8</x:formula1>
    </x:dataValidation>
    <x:dataValidation type="list" sqref="H6:H105">
      <x:formula1>99_SETTINGS!$G$5:$G$11</x:formula1>
    </x:dataValidation>
    <x:dataValidation type="list" sqref="I6:I105">
      <x:formula1>'09_STAFF'!$C$6:$C$105</x:formula1>
    </x:dataValidation>
    <x:dataValidation type="list" sqref="J6:J105">
      <x:formula1>99_SETTINGS!$G$19:$G$25</x:formula1>
    </x:dataValidation>
    <x:dataValidation type="list" sqref="L6:L105">
      <x:formula1>'02_MEMBERS'!$B$6:$B$105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361bae405542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24" hidden="0" customWidth="1"/>
    <x:col min="5" max="5" width="14" hidden="0" customWidth="1"/>
    <x:col min="6" max="6" width="15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6" hidden="0" customWidth="1"/>
    <x:col min="13" max="13" width="16" hidden="0" customWidth="1"/>
    <x:col min="14" max="14" width="22" hidden="0" customWidth="1"/>
    <x:col min="15" max="15" width="34" hidden="0" customWidth="1"/>
    <x:col min="16" max="16" width="36" hidden="0" customWidth="1"/>
    <x:col min="17" max="17" width="20" hidden="0" customWidth="1"/>
  </x:cols>
  <x:sheetData>
    <x:row r="1" ht="34" customHeight="1">
      <x:c r="A1" s="4" t="str">
        <x:v>CLIENT PROGRESS ASSESSMENTS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6" customHeight="1">
      <x:c r="A2" s="10" t="str">
        <x:v>Non-diagnostic progress measures. Only approved metrics appear on the customer dashboard.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4">
      <x:c r="A4" s="53" t="str">
        <x:v>Yellow = staff input | Grey/green = automatic calculation | Demo rows can be replaced with real data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</x:row>
    <x:row r="5" ht="34" customHeight="1">
      <x:c r="A5" s="18" t="str">
        <x:v>Record Type</x:v>
      </x:c>
      <x:c r="B5" s="18" t="str">
        <x:v>Assessment ID</x:v>
      </x:c>
      <x:c r="C5" s="18" t="str">
        <x:v>Member ID</x:v>
      </x:c>
      <x:c r="D5" s="18" t="str">
        <x:v>Member Name</x:v>
      </x:c>
      <x:c r="E5" s="18" t="str">
        <x:v>Assessment Date</x:v>
      </x:c>
      <x:c r="F5" s="18" t="str">
        <x:v>Mobility (1-10)</x:v>
      </x:c>
      <x:c r="G5" s="18" t="str">
        <x:v>Core Strength (1-10)</x:v>
      </x:c>
      <x:c r="H5" s="18" t="str">
        <x:v>Balance (1-10)</x:v>
      </x:c>
      <x:c r="I5" s="18" t="str">
        <x:v>Posture (1-10)</x:v>
      </x:c>
      <x:c r="J5" s="18" t="str">
        <x:v>Energy (1-10)</x:v>
      </x:c>
      <x:c r="K5" s="18" t="str">
        <x:v>Goal Progress %</x:v>
      </x:c>
      <x:c r="L5" s="18" t="str">
        <x:v>Weight kg (Optional)</x:v>
      </x:c>
      <x:c r="M5" s="18" t="str">
        <x:v>Waist cm (Optional)</x:v>
      </x:c>
      <x:c r="N5" s="18" t="str">
        <x:v>Instructor</x:v>
      </x:c>
      <x:c r="O5" s="18" t="str">
        <x:v>Client-visible Summary</x:v>
      </x:c>
      <x:c r="P5" s="18" t="str">
        <x:v>Internal Notes (Confidential)</x:v>
      </x:c>
      <x:c r="Q5" s="18" t="str">
        <x:v>Member Sequence Key</x:v>
      </x:c>
    </x:row>
    <x:row r="6">
      <x:c r="A6" s="37" t="str">
        <x:v>DEMO</x:v>
      </x:c>
      <x:c r="B6" s="59" t="str">
        <x:f>IF(OR(C6="",E6=""),"","ASM-"&amp;TEXT(E6,"yymmdd")&amp;"-"&amp;TEXT(ROW()-5,"0000"))</x:f>
        <x:v>ASM-260115-0001</x:v>
      </x:c>
      <x:c r="C6" s="37" t="str">
        <x:v>MBR-0001</x:v>
      </x:c>
      <x:c r="D6" s="63" t="str">
        <x:f>IFERROR(INDEX('02_MEMBERS'!$C$6:$C$105,MATCH(C6,'02_MEMBERS'!$B$6:$B$105,0)),"")</x:f>
        <x:v>Aarati Karki</x:v>
      </x:c>
      <x:c r="E6" s="42" t="n">
        <x:v>46037</x:v>
      </x:c>
      <x:c r="F6" s="37" t="n">
        <x:v>4</x:v>
      </x:c>
      <x:c r="G6" s="37" t="n">
        <x:v>5</x:v>
      </x:c>
      <x:c r="H6" s="37" t="n">
        <x:v>4</x:v>
      </x:c>
      <x:c r="I6" s="37" t="n">
        <x:v>5</x:v>
      </x:c>
      <x:c r="J6" s="37" t="n">
        <x:v>5</x:v>
      </x:c>
      <x:c r="K6" s="78" t="n">
        <x:v>0.35</x:v>
      </x:c>
      <x:c r="L6" s="37"/>
      <x:c r="M6" s="37"/>
      <x:c r="N6" s="37" t="str">
        <x:v>Maya Gurung</x:v>
      </x:c>
      <x:c r="O6" s="37" t="str">
        <x:v>Visible improvement in movement quality and confidence.</x:v>
      </x:c>
      <x:c r="P6" s="37" t="str">
        <x:v>Internal coaching note</x:v>
      </x:c>
      <x:c r="Q6" s="59" t="str">
        <x:f>IF(C6="","",C6&amp;"|"&amp;COUNTIF($C$6:C6,C6))</x:f>
        <x:v>MBR-0001|1</x:v>
      </x:c>
    </x:row>
    <x:row r="7">
      <x:c r="A7" s="37" t="str">
        <x:v>DEMO</x:v>
      </x:c>
      <x:c r="B7" s="59" t="str">
        <x:f>IF(OR(C7="",E7=""),"","ASM-"&amp;TEXT(E7,"yymmdd")&amp;"-"&amp;TEXT(ROW()-5,"0000"))</x:f>
        <x:v>ASM-260301-0002</x:v>
      </x:c>
      <x:c r="C7" s="37" t="str">
        <x:v>MBR-0001</x:v>
      </x:c>
      <x:c r="D7" s="63" t="str">
        <x:f>IFERROR(INDEX('02_MEMBERS'!$C$6:$C$105,MATCH(C7,'02_MEMBERS'!$B$6:$B$105,0)),"")</x:f>
        <x:v>Aarati Karki</x:v>
      </x:c>
      <x:c r="E7" s="42" t="n">
        <x:v>46082</x:v>
      </x:c>
      <x:c r="F7" s="37" t="n">
        <x:v>5</x:v>
      </x:c>
      <x:c r="G7" s="37" t="n">
        <x:v>6</x:v>
      </x:c>
      <x:c r="H7" s="37" t="n">
        <x:v>5</x:v>
      </x:c>
      <x:c r="I7" s="37" t="n">
        <x:v>6</x:v>
      </x:c>
      <x:c r="J7" s="37" t="n">
        <x:v>6</x:v>
      </x:c>
      <x:c r="K7" s="78" t="n">
        <x:v>0.53</x:v>
      </x:c>
      <x:c r="L7" s="37"/>
      <x:c r="M7" s="37"/>
      <x:c r="N7" s="37" t="str">
        <x:v>Maya Gurung</x:v>
      </x:c>
      <x:c r="O7" s="37" t="str">
        <x:v>Visible improvement in movement quality and confidence.</x:v>
      </x:c>
      <x:c r="P7" s="37" t="str">
        <x:v>Internal coaching note</x:v>
      </x:c>
      <x:c r="Q7" s="59" t="str">
        <x:f>IF(C7="","",C7&amp;"|"&amp;COUNTIF($C$6:C7,C7))</x:f>
        <x:v>MBR-0001|2</x:v>
      </x:c>
    </x:row>
    <x:row r="8">
      <x:c r="A8" s="37" t="str">
        <x:v>DEMO</x:v>
      </x:c>
      <x:c r="B8" s="59" t="str">
        <x:f>IF(OR(C8="",E8=""),"","ASM-"&amp;TEXT(E8,"yymmdd")&amp;"-"&amp;TEXT(ROW()-5,"0000"))</x:f>
        <x:v>ASM-260415-0003</x:v>
      </x:c>
      <x:c r="C8" s="37" t="str">
        <x:v>MBR-0001</x:v>
      </x:c>
      <x:c r="D8" s="63" t="str">
        <x:f>IFERROR(INDEX('02_MEMBERS'!$C$6:$C$105,MATCH(C8,'02_MEMBERS'!$B$6:$B$105,0)),"")</x:f>
        <x:v>Aarati Karki</x:v>
      </x:c>
      <x:c r="E8" s="42" t="n">
        <x:v>46127</x:v>
      </x:c>
      <x:c r="F8" s="37" t="n">
        <x:v>6</x:v>
      </x:c>
      <x:c r="G8" s="37" t="n">
        <x:v>7</x:v>
      </x:c>
      <x:c r="H8" s="37" t="n">
        <x:v>6</x:v>
      </x:c>
      <x:c r="I8" s="37" t="n">
        <x:v>7</x:v>
      </x:c>
      <x:c r="J8" s="37" t="n">
        <x:v>7</x:v>
      </x:c>
      <x:c r="K8" s="78" t="n">
        <x:v>0.71</x:v>
      </x:c>
      <x:c r="L8" s="37"/>
      <x:c r="M8" s="37"/>
      <x:c r="N8" s="37" t="str">
        <x:v>Maya Gurung</x:v>
      </x:c>
      <x:c r="O8" s="37" t="str">
        <x:v>Visible improvement in movement quality and confidence.</x:v>
      </x:c>
      <x:c r="P8" s="37" t="str">
        <x:v>Internal coaching note</x:v>
      </x:c>
      <x:c r="Q8" s="59" t="str">
        <x:f>IF(C8="","",C8&amp;"|"&amp;COUNTIF($C$6:C8,C8))</x:f>
        <x:v>MBR-0001|3</x:v>
      </x:c>
    </x:row>
    <x:row r="9">
      <x:c r="A9" s="37" t="str">
        <x:v>DEMO</x:v>
      </x:c>
      <x:c r="B9" s="59" t="str">
        <x:f>IF(OR(C9="",E9=""),"","ASM-"&amp;TEXT(E9,"yymmdd")&amp;"-"&amp;TEXT(ROW()-5,"0000"))</x:f>
        <x:v>ASM-260530-0004</x:v>
      </x:c>
      <x:c r="C9" s="37" t="str">
        <x:v>MBR-0001</x:v>
      </x:c>
      <x:c r="D9" s="63" t="str">
        <x:f>IFERROR(INDEX('02_MEMBERS'!$C$6:$C$105,MATCH(C9,'02_MEMBERS'!$B$6:$B$105,0)),"")</x:f>
        <x:v>Aarati Karki</x:v>
      </x:c>
      <x:c r="E9" s="42" t="n">
        <x:v>46172</x:v>
      </x:c>
      <x:c r="F9" s="37" t="n">
        <x:v>7</x:v>
      </x:c>
      <x:c r="G9" s="37" t="n">
        <x:v>8</x:v>
      </x:c>
      <x:c r="H9" s="37" t="n">
        <x:v>7</x:v>
      </x:c>
      <x:c r="I9" s="37" t="n">
        <x:v>8</x:v>
      </x:c>
      <x:c r="J9" s="37" t="n">
        <x:v>8</x:v>
      </x:c>
      <x:c r="K9" s="78" t="n">
        <x:v>0.89</x:v>
      </x:c>
      <x:c r="L9" s="37"/>
      <x:c r="M9" s="37"/>
      <x:c r="N9" s="37" t="str">
        <x:v>Maya Gurung</x:v>
      </x:c>
      <x:c r="O9" s="37" t="str">
        <x:v>Visible improvement in movement quality and confidence.</x:v>
      </x:c>
      <x:c r="P9" s="37" t="str">
        <x:v>Internal coaching note</x:v>
      </x:c>
      <x:c r="Q9" s="59" t="str">
        <x:f>IF(C9="","",C9&amp;"|"&amp;COUNTIF($C$6:C9,C9))</x:f>
        <x:v>MBR-0001|4</x:v>
      </x:c>
    </x:row>
    <x:row r="10">
      <x:c r="A10" s="37" t="str">
        <x:v>DEMO</x:v>
      </x:c>
      <x:c r="B10" s="59" t="str">
        <x:f>IF(OR(C10="",E10=""),"","ASM-"&amp;TEXT(E10,"yymmdd")&amp;"-"&amp;TEXT(ROW()-5,"0000"))</x:f>
        <x:v>ASM-260117-0005</x:v>
      </x:c>
      <x:c r="C10" s="37" t="str">
        <x:v>MBR-0002</x:v>
      </x:c>
      <x:c r="D10" s="63" t="str">
        <x:f>IFERROR(INDEX('02_MEMBERS'!$C$6:$C$105,MATCH(C10,'02_MEMBERS'!$B$6:$B$105,0)),"")</x:f>
        <x:v>Sneha Joshi</x:v>
      </x:c>
      <x:c r="E10" s="42" t="n">
        <x:v>46039</x:v>
      </x:c>
      <x:c r="F10" s="37" t="n">
        <x:v>4</x:v>
      </x:c>
      <x:c r="G10" s="37" t="n">
        <x:v>5</x:v>
      </x:c>
      <x:c r="H10" s="37" t="n">
        <x:v>4</x:v>
      </x:c>
      <x:c r="I10" s="37" t="n">
        <x:v>5</x:v>
      </x:c>
      <x:c r="J10" s="37" t="n">
        <x:v>5</x:v>
      </x:c>
      <x:c r="K10" s="78" t="n">
        <x:v>0.35</x:v>
      </x:c>
      <x:c r="L10" s="37"/>
      <x:c r="M10" s="37"/>
      <x:c r="N10" s="37" t="str">
        <x:v>Maya Gurung</x:v>
      </x:c>
      <x:c r="O10" s="37" t="str">
        <x:v>Visible improvement in movement quality and confidence.</x:v>
      </x:c>
      <x:c r="P10" s="37" t="str">
        <x:v>Internal coaching note</x:v>
      </x:c>
      <x:c r="Q10" s="59" t="str">
        <x:f>IF(C10="","",C10&amp;"|"&amp;COUNTIF($C$6:C10,C10))</x:f>
        <x:v>MBR-0002|1</x:v>
      </x:c>
    </x:row>
    <x:row r="11">
      <x:c r="A11" s="37" t="str">
        <x:v>DEMO</x:v>
      </x:c>
      <x:c r="B11" s="59" t="str">
        <x:f>IF(OR(C11="",E11=""),"","ASM-"&amp;TEXT(E11,"yymmdd")&amp;"-"&amp;TEXT(ROW()-5,"0000"))</x:f>
        <x:v>ASM-260303-0006</x:v>
      </x:c>
      <x:c r="C11" s="37" t="str">
        <x:v>MBR-0002</x:v>
      </x:c>
      <x:c r="D11" s="63" t="str">
        <x:f>IFERROR(INDEX('02_MEMBERS'!$C$6:$C$105,MATCH(C11,'02_MEMBERS'!$B$6:$B$105,0)),"")</x:f>
        <x:v>Sneha Joshi</x:v>
      </x:c>
      <x:c r="E11" s="42" t="n">
        <x:v>46084</x:v>
      </x:c>
      <x:c r="F11" s="37" t="n">
        <x:v>5</x:v>
      </x:c>
      <x:c r="G11" s="37" t="n">
        <x:v>6</x:v>
      </x:c>
      <x:c r="H11" s="37" t="n">
        <x:v>5</x:v>
      </x:c>
      <x:c r="I11" s="37" t="n">
        <x:v>6</x:v>
      </x:c>
      <x:c r="J11" s="37" t="n">
        <x:v>6</x:v>
      </x:c>
      <x:c r="K11" s="78" t="n">
        <x:v>0.53</x:v>
      </x:c>
      <x:c r="L11" s="37"/>
      <x:c r="M11" s="37"/>
      <x:c r="N11" s="37" t="str">
        <x:v>Maya Gurung</x:v>
      </x:c>
      <x:c r="O11" s="37" t="str">
        <x:v>Visible improvement in movement quality and confidence.</x:v>
      </x:c>
      <x:c r="P11" s="37" t="str">
        <x:v>Internal coaching note</x:v>
      </x:c>
      <x:c r="Q11" s="59" t="str">
        <x:f>IF(C11="","",C11&amp;"|"&amp;COUNTIF($C$6:C11,C11))</x:f>
        <x:v>MBR-0002|2</x:v>
      </x:c>
    </x:row>
    <x:row r="12">
      <x:c r="A12" s="37" t="str">
        <x:v>DEMO</x:v>
      </x:c>
      <x:c r="B12" s="59" t="str">
        <x:f>IF(OR(C12="",E12=""),"","ASM-"&amp;TEXT(E12,"yymmdd")&amp;"-"&amp;TEXT(ROW()-5,"0000"))</x:f>
        <x:v>ASM-260417-0007</x:v>
      </x:c>
      <x:c r="C12" s="37" t="str">
        <x:v>MBR-0002</x:v>
      </x:c>
      <x:c r="D12" s="63" t="str">
        <x:f>IFERROR(INDEX('02_MEMBERS'!$C$6:$C$105,MATCH(C12,'02_MEMBERS'!$B$6:$B$105,0)),"")</x:f>
        <x:v>Sneha Joshi</x:v>
      </x:c>
      <x:c r="E12" s="42" t="n">
        <x:v>46129</x:v>
      </x:c>
      <x:c r="F12" s="37" t="n">
        <x:v>6</x:v>
      </x:c>
      <x:c r="G12" s="37" t="n">
        <x:v>7</x:v>
      </x:c>
      <x:c r="H12" s="37" t="n">
        <x:v>6</x:v>
      </x:c>
      <x:c r="I12" s="37" t="n">
        <x:v>7</x:v>
      </x:c>
      <x:c r="J12" s="37" t="n">
        <x:v>7</x:v>
      </x:c>
      <x:c r="K12" s="78" t="n">
        <x:v>0.71</x:v>
      </x:c>
      <x:c r="L12" s="37"/>
      <x:c r="M12" s="37"/>
      <x:c r="N12" s="37" t="str">
        <x:v>Maya Gurung</x:v>
      </x:c>
      <x:c r="O12" s="37" t="str">
        <x:v>Visible improvement in movement quality and confidence.</x:v>
      </x:c>
      <x:c r="P12" s="37" t="str">
        <x:v>Internal coaching note</x:v>
      </x:c>
      <x:c r="Q12" s="59" t="str">
        <x:f>IF(C12="","",C12&amp;"|"&amp;COUNTIF($C$6:C12,C12))</x:f>
        <x:v>MBR-0002|3</x:v>
      </x:c>
    </x:row>
    <x:row r="13">
      <x:c r="A13" s="37" t="str">
        <x:v>DEMO</x:v>
      </x:c>
      <x:c r="B13" s="59" t="str">
        <x:f>IF(OR(C13="",E13=""),"","ASM-"&amp;TEXT(E13,"yymmdd")&amp;"-"&amp;TEXT(ROW()-5,"0000"))</x:f>
        <x:v>ASM-260601-0008</x:v>
      </x:c>
      <x:c r="C13" s="37" t="str">
        <x:v>MBR-0002</x:v>
      </x:c>
      <x:c r="D13" s="63" t="str">
        <x:f>IFERROR(INDEX('02_MEMBERS'!$C$6:$C$105,MATCH(C13,'02_MEMBERS'!$B$6:$B$105,0)),"")</x:f>
        <x:v>Sneha Joshi</x:v>
      </x:c>
      <x:c r="E13" s="42" t="n">
        <x:v>46174</x:v>
      </x:c>
      <x:c r="F13" s="37" t="n">
        <x:v>7</x:v>
      </x:c>
      <x:c r="G13" s="37" t="n">
        <x:v>8</x:v>
      </x:c>
      <x:c r="H13" s="37" t="n">
        <x:v>7</x:v>
      </x:c>
      <x:c r="I13" s="37" t="n">
        <x:v>8</x:v>
      </x:c>
      <x:c r="J13" s="37" t="n">
        <x:v>8</x:v>
      </x:c>
      <x:c r="K13" s="78" t="n">
        <x:v>0.89</x:v>
      </x:c>
      <x:c r="L13" s="37"/>
      <x:c r="M13" s="37"/>
      <x:c r="N13" s="37" t="str">
        <x:v>Maya Gurung</x:v>
      </x:c>
      <x:c r="O13" s="37" t="str">
        <x:v>Visible improvement in movement quality and confidence.</x:v>
      </x:c>
      <x:c r="P13" s="37" t="str">
        <x:v>Internal coaching note</x:v>
      </x:c>
      <x:c r="Q13" s="59" t="str">
        <x:f>IF(C13="","",C13&amp;"|"&amp;COUNTIF($C$6:C13,C13))</x:f>
        <x:v>MBR-0002|4</x:v>
      </x:c>
    </x:row>
    <x:row r="14">
      <x:c r="A14" s="37" t="str">
        <x:v>DEMO</x:v>
      </x:c>
      <x:c r="B14" s="59" t="str">
        <x:f>IF(OR(C14="",E14=""),"","ASM-"&amp;TEXT(E14,"yymmdd")&amp;"-"&amp;TEXT(ROW()-5,"0000"))</x:f>
        <x:v>ASM-260119-0009</x:v>
      </x:c>
      <x:c r="C14" s="37" t="str">
        <x:v>MBR-0003</x:v>
      </x:c>
      <x:c r="D14" s="63" t="str">
        <x:f>IFERROR(INDEX('02_MEMBERS'!$C$6:$C$105,MATCH(C14,'02_MEMBERS'!$B$6:$B$105,0)),"")</x:f>
        <x:v>Prerana Shrestha</x:v>
      </x:c>
      <x:c r="E14" s="42" t="n">
        <x:v>46041</x:v>
      </x:c>
      <x:c r="F14" s="37" t="n">
        <x:v>4</x:v>
      </x:c>
      <x:c r="G14" s="37" t="n">
        <x:v>5</x:v>
      </x:c>
      <x:c r="H14" s="37" t="n">
        <x:v>4</x:v>
      </x:c>
      <x:c r="I14" s="37" t="n">
        <x:v>5</x:v>
      </x:c>
      <x:c r="J14" s="37" t="n">
        <x:v>5</x:v>
      </x:c>
      <x:c r="K14" s="78" t="n">
        <x:v>0.35</x:v>
      </x:c>
      <x:c r="L14" s="37"/>
      <x:c r="M14" s="37"/>
      <x:c r="N14" s="37" t="str">
        <x:v>Maya Gurung</x:v>
      </x:c>
      <x:c r="O14" s="37" t="str">
        <x:v>Visible improvement in movement quality and confidence.</x:v>
      </x:c>
      <x:c r="P14" s="37" t="str">
        <x:v>Internal coaching note</x:v>
      </x:c>
      <x:c r="Q14" s="59" t="str">
        <x:f>IF(C14="","",C14&amp;"|"&amp;COUNTIF($C$6:C14,C14))</x:f>
        <x:v>MBR-0003|1</x:v>
      </x:c>
    </x:row>
    <x:row r="15">
      <x:c r="A15" s="37" t="str">
        <x:v>DEMO</x:v>
      </x:c>
      <x:c r="B15" s="59" t="str">
        <x:f>IF(OR(C15="",E15=""),"","ASM-"&amp;TEXT(E15,"yymmdd")&amp;"-"&amp;TEXT(ROW()-5,"0000"))</x:f>
        <x:v>ASM-260305-0010</x:v>
      </x:c>
      <x:c r="C15" s="37" t="str">
        <x:v>MBR-0003</x:v>
      </x:c>
      <x:c r="D15" s="63" t="str">
        <x:f>IFERROR(INDEX('02_MEMBERS'!$C$6:$C$105,MATCH(C15,'02_MEMBERS'!$B$6:$B$105,0)),"")</x:f>
        <x:v>Prerana Shrestha</x:v>
      </x:c>
      <x:c r="E15" s="42" t="n">
        <x:v>46086</x:v>
      </x:c>
      <x:c r="F15" s="37" t="n">
        <x:v>5</x:v>
      </x:c>
      <x:c r="G15" s="37" t="n">
        <x:v>6</x:v>
      </x:c>
      <x:c r="H15" s="37" t="n">
        <x:v>5</x:v>
      </x:c>
      <x:c r="I15" s="37" t="n">
        <x:v>6</x:v>
      </x:c>
      <x:c r="J15" s="37" t="n">
        <x:v>6</x:v>
      </x:c>
      <x:c r="K15" s="78" t="n">
        <x:v>0.53</x:v>
      </x:c>
      <x:c r="L15" s="37"/>
      <x:c r="M15" s="37"/>
      <x:c r="N15" s="37" t="str">
        <x:v>Maya Gurung</x:v>
      </x:c>
      <x:c r="O15" s="37" t="str">
        <x:v>Visible improvement in movement quality and confidence.</x:v>
      </x:c>
      <x:c r="P15" s="37" t="str">
        <x:v>Internal coaching note</x:v>
      </x:c>
      <x:c r="Q15" s="59" t="str">
        <x:f>IF(C15="","",C15&amp;"|"&amp;COUNTIF($C$6:C15,C15))</x:f>
        <x:v>MBR-0003|2</x:v>
      </x:c>
    </x:row>
    <x:row r="16">
      <x:c r="A16" s="37" t="str">
        <x:v>DEMO</x:v>
      </x:c>
      <x:c r="B16" s="59" t="str">
        <x:f>IF(OR(C16="",E16=""),"","ASM-"&amp;TEXT(E16,"yymmdd")&amp;"-"&amp;TEXT(ROW()-5,"0000"))</x:f>
        <x:v>ASM-260419-0011</x:v>
      </x:c>
      <x:c r="C16" s="37" t="str">
        <x:v>MBR-0003</x:v>
      </x:c>
      <x:c r="D16" s="63" t="str">
        <x:f>IFERROR(INDEX('02_MEMBERS'!$C$6:$C$105,MATCH(C16,'02_MEMBERS'!$B$6:$B$105,0)),"")</x:f>
        <x:v>Prerana Shrestha</x:v>
      </x:c>
      <x:c r="E16" s="42" t="n">
        <x:v>46131</x:v>
      </x:c>
      <x:c r="F16" s="37" t="n">
        <x:v>6</x:v>
      </x:c>
      <x:c r="G16" s="37" t="n">
        <x:v>7</x:v>
      </x:c>
      <x:c r="H16" s="37" t="n">
        <x:v>6</x:v>
      </x:c>
      <x:c r="I16" s="37" t="n">
        <x:v>7</x:v>
      </x:c>
      <x:c r="J16" s="37" t="n">
        <x:v>7</x:v>
      </x:c>
      <x:c r="K16" s="78" t="n">
        <x:v>0.71</x:v>
      </x:c>
      <x:c r="L16" s="37"/>
      <x:c r="M16" s="37"/>
      <x:c r="N16" s="37" t="str">
        <x:v>Maya Gurung</x:v>
      </x:c>
      <x:c r="O16" s="37" t="str">
        <x:v>Visible improvement in movement quality and confidence.</x:v>
      </x:c>
      <x:c r="P16" s="37" t="str">
        <x:v>Internal coaching note</x:v>
      </x:c>
      <x:c r="Q16" s="59" t="str">
        <x:f>IF(C16="","",C16&amp;"|"&amp;COUNTIF($C$6:C16,C16))</x:f>
        <x:v>MBR-0003|3</x:v>
      </x:c>
    </x:row>
    <x:row r="17">
      <x:c r="A17" s="37" t="str">
        <x:v>DEMO</x:v>
      </x:c>
      <x:c r="B17" s="59" t="str">
        <x:f>IF(OR(C17="",E17=""),"","ASM-"&amp;TEXT(E17,"yymmdd")&amp;"-"&amp;TEXT(ROW()-5,"0000"))</x:f>
        <x:v>ASM-260603-0012</x:v>
      </x:c>
      <x:c r="C17" s="37" t="str">
        <x:v>MBR-0003</x:v>
      </x:c>
      <x:c r="D17" s="63" t="str">
        <x:f>IFERROR(INDEX('02_MEMBERS'!$C$6:$C$105,MATCH(C17,'02_MEMBERS'!$B$6:$B$105,0)),"")</x:f>
        <x:v>Prerana Shrestha</x:v>
      </x:c>
      <x:c r="E17" s="42" t="n">
        <x:v>46176</x:v>
      </x:c>
      <x:c r="F17" s="37" t="n">
        <x:v>7</x:v>
      </x:c>
      <x:c r="G17" s="37" t="n">
        <x:v>8</x:v>
      </x:c>
      <x:c r="H17" s="37" t="n">
        <x:v>7</x:v>
      </x:c>
      <x:c r="I17" s="37" t="n">
        <x:v>8</x:v>
      </x:c>
      <x:c r="J17" s="37" t="n">
        <x:v>8</x:v>
      </x:c>
      <x:c r="K17" s="78" t="n">
        <x:v>0.89</x:v>
      </x:c>
      <x:c r="L17" s="37"/>
      <x:c r="M17" s="37"/>
      <x:c r="N17" s="37" t="str">
        <x:v>Maya Gurung</x:v>
      </x:c>
      <x:c r="O17" s="37" t="str">
        <x:v>Visible improvement in movement quality and confidence.</x:v>
      </x:c>
      <x:c r="P17" s="37" t="str">
        <x:v>Internal coaching note</x:v>
      </x:c>
      <x:c r="Q17" s="59" t="str">
        <x:f>IF(C17="","",C17&amp;"|"&amp;COUNTIF($C$6:C17,C17))</x:f>
        <x:v>MBR-0003|4</x:v>
      </x:c>
    </x:row>
    <x:row r="18">
      <x:c r="A18" s="37" t="str">
        <x:v>DEMO</x:v>
      </x:c>
      <x:c r="B18" s="59" t="str">
        <x:f>IF(OR(C18="",E18=""),"","ASM-"&amp;TEXT(E18,"yymmdd")&amp;"-"&amp;TEXT(ROW()-5,"0000"))</x:f>
        <x:v>ASM-260121-0013</x:v>
      </x:c>
      <x:c r="C18" s="37" t="str">
        <x:v>MBR-0004</x:v>
      </x:c>
      <x:c r="D18" s="63" t="str">
        <x:f>IFERROR(INDEX('02_MEMBERS'!$C$6:$C$105,MATCH(C18,'02_MEMBERS'!$B$6:$B$105,0)),"")</x:f>
        <x:v>Nina Maharjan</x:v>
      </x:c>
      <x:c r="E18" s="42" t="n">
        <x:v>46043</x:v>
      </x:c>
      <x:c r="F18" s="37" t="n">
        <x:v>4</x:v>
      </x:c>
      <x:c r="G18" s="37" t="n">
        <x:v>5</x:v>
      </x:c>
      <x:c r="H18" s="37" t="n">
        <x:v>4</x:v>
      </x:c>
      <x:c r="I18" s="37" t="n">
        <x:v>5</x:v>
      </x:c>
      <x:c r="J18" s="37" t="n">
        <x:v>5</x:v>
      </x:c>
      <x:c r="K18" s="78" t="n">
        <x:v>0.35</x:v>
      </x:c>
      <x:c r="L18" s="37"/>
      <x:c r="M18" s="37"/>
      <x:c r="N18" s="37" t="str">
        <x:v>Maya Gurung</x:v>
      </x:c>
      <x:c r="O18" s="37" t="str">
        <x:v>Visible improvement in movement quality and confidence.</x:v>
      </x:c>
      <x:c r="P18" s="37" t="str">
        <x:v>Internal coaching note</x:v>
      </x:c>
      <x:c r="Q18" s="59" t="str">
        <x:f>IF(C18="","",C18&amp;"|"&amp;COUNTIF($C$6:C18,C18))</x:f>
        <x:v>MBR-0004|1</x:v>
      </x:c>
    </x:row>
    <x:row r="19">
      <x:c r="A19" s="37" t="str">
        <x:v>DEMO</x:v>
      </x:c>
      <x:c r="B19" s="59" t="str">
        <x:f>IF(OR(C19="",E19=""),"","ASM-"&amp;TEXT(E19,"yymmdd")&amp;"-"&amp;TEXT(ROW()-5,"0000"))</x:f>
        <x:v>ASM-260307-0014</x:v>
      </x:c>
      <x:c r="C19" s="37" t="str">
        <x:v>MBR-0004</x:v>
      </x:c>
      <x:c r="D19" s="63" t="str">
        <x:f>IFERROR(INDEX('02_MEMBERS'!$C$6:$C$105,MATCH(C19,'02_MEMBERS'!$B$6:$B$105,0)),"")</x:f>
        <x:v>Nina Maharjan</x:v>
      </x:c>
      <x:c r="E19" s="42" t="n">
        <x:v>46088</x:v>
      </x:c>
      <x:c r="F19" s="37" t="n">
        <x:v>5</x:v>
      </x:c>
      <x:c r="G19" s="37" t="n">
        <x:v>6</x:v>
      </x:c>
      <x:c r="H19" s="37" t="n">
        <x:v>5</x:v>
      </x:c>
      <x:c r="I19" s="37" t="n">
        <x:v>6</x:v>
      </x:c>
      <x:c r="J19" s="37" t="n">
        <x:v>6</x:v>
      </x:c>
      <x:c r="K19" s="78" t="n">
        <x:v>0.53</x:v>
      </x:c>
      <x:c r="L19" s="37"/>
      <x:c r="M19" s="37"/>
      <x:c r="N19" s="37" t="str">
        <x:v>Maya Gurung</x:v>
      </x:c>
      <x:c r="O19" s="37" t="str">
        <x:v>Visible improvement in movement quality and confidence.</x:v>
      </x:c>
      <x:c r="P19" s="37" t="str">
        <x:v>Internal coaching note</x:v>
      </x:c>
      <x:c r="Q19" s="59" t="str">
        <x:f>IF(C19="","",C19&amp;"|"&amp;COUNTIF($C$6:C19,C19))</x:f>
        <x:v>MBR-0004|2</x:v>
      </x:c>
    </x:row>
    <x:row r="20">
      <x:c r="A20" s="37" t="str">
        <x:v>DEMO</x:v>
      </x:c>
      <x:c r="B20" s="59" t="str">
        <x:f>IF(OR(C20="",E20=""),"","ASM-"&amp;TEXT(E20,"yymmdd")&amp;"-"&amp;TEXT(ROW()-5,"0000"))</x:f>
        <x:v>ASM-260421-0015</x:v>
      </x:c>
      <x:c r="C20" s="37" t="str">
        <x:v>MBR-0004</x:v>
      </x:c>
      <x:c r="D20" s="63" t="str">
        <x:f>IFERROR(INDEX('02_MEMBERS'!$C$6:$C$105,MATCH(C20,'02_MEMBERS'!$B$6:$B$105,0)),"")</x:f>
        <x:v>Nina Maharjan</x:v>
      </x:c>
      <x:c r="E20" s="42" t="n">
        <x:v>46133</x:v>
      </x:c>
      <x:c r="F20" s="37" t="n">
        <x:v>6</x:v>
      </x:c>
      <x:c r="G20" s="37" t="n">
        <x:v>7</x:v>
      </x:c>
      <x:c r="H20" s="37" t="n">
        <x:v>6</x:v>
      </x:c>
      <x:c r="I20" s="37" t="n">
        <x:v>7</x:v>
      </x:c>
      <x:c r="J20" s="37" t="n">
        <x:v>7</x:v>
      </x:c>
      <x:c r="K20" s="78" t="n">
        <x:v>0.71</x:v>
      </x:c>
      <x:c r="L20" s="37"/>
      <x:c r="M20" s="37"/>
      <x:c r="N20" s="37" t="str">
        <x:v>Maya Gurung</x:v>
      </x:c>
      <x:c r="O20" s="37" t="str">
        <x:v>Visible improvement in movement quality and confidence.</x:v>
      </x:c>
      <x:c r="P20" s="37" t="str">
        <x:v>Internal coaching note</x:v>
      </x:c>
      <x:c r="Q20" s="59" t="str">
        <x:f>IF(C20="","",C20&amp;"|"&amp;COUNTIF($C$6:C20,C20))</x:f>
        <x:v>MBR-0004|3</x:v>
      </x:c>
    </x:row>
    <x:row r="21">
      <x:c r="A21" s="37" t="str">
        <x:v>DEMO</x:v>
      </x:c>
      <x:c r="B21" s="59" t="str">
        <x:f>IF(OR(C21="",E21=""),"","ASM-"&amp;TEXT(E21,"yymmdd")&amp;"-"&amp;TEXT(ROW()-5,"0000"))</x:f>
        <x:v>ASM-260605-0016</x:v>
      </x:c>
      <x:c r="C21" s="37" t="str">
        <x:v>MBR-0004</x:v>
      </x:c>
      <x:c r="D21" s="63" t="str">
        <x:f>IFERROR(INDEX('02_MEMBERS'!$C$6:$C$105,MATCH(C21,'02_MEMBERS'!$B$6:$B$105,0)),"")</x:f>
        <x:v>Nina Maharjan</x:v>
      </x:c>
      <x:c r="E21" s="42" t="n">
        <x:v>46178</x:v>
      </x:c>
      <x:c r="F21" s="37" t="n">
        <x:v>7</x:v>
      </x:c>
      <x:c r="G21" s="37" t="n">
        <x:v>8</x:v>
      </x:c>
      <x:c r="H21" s="37" t="n">
        <x:v>7</x:v>
      </x:c>
      <x:c r="I21" s="37" t="n">
        <x:v>8</x:v>
      </x:c>
      <x:c r="J21" s="37" t="n">
        <x:v>8</x:v>
      </x:c>
      <x:c r="K21" s="78" t="n">
        <x:v>0.89</x:v>
      </x:c>
      <x:c r="L21" s="37"/>
      <x:c r="M21" s="37"/>
      <x:c r="N21" s="37" t="str">
        <x:v>Maya Gurung</x:v>
      </x:c>
      <x:c r="O21" s="37" t="str">
        <x:v>Visible improvement in movement quality and confidence.</x:v>
      </x:c>
      <x:c r="P21" s="37" t="str">
        <x:v>Internal coaching note</x:v>
      </x:c>
      <x:c r="Q21" s="59" t="str">
        <x:f>IF(C21="","",C21&amp;"|"&amp;COUNTIF($C$6:C21,C21))</x:f>
        <x:v>MBR-0004|4</x:v>
      </x:c>
    </x:row>
    <x:row r="22">
      <x:c r="A22" s="37" t="str">
        <x:v>DEMO</x:v>
      </x:c>
      <x:c r="B22" s="59" t="str">
        <x:f>IF(OR(C22="",E22=""),"","ASM-"&amp;TEXT(E22,"yymmdd")&amp;"-"&amp;TEXT(ROW()-5,"0000"))</x:f>
        <x:v>ASM-260123-0017</x:v>
      </x:c>
      <x:c r="C22" s="37" t="str">
        <x:v>MBR-0005</x:v>
      </x:c>
      <x:c r="D22" s="63" t="str">
        <x:f>IFERROR(INDEX('02_MEMBERS'!$C$6:$C$105,MATCH(C22,'02_MEMBERS'!$B$6:$B$105,0)),"")</x:f>
        <x:v>Samira Rana</x:v>
      </x:c>
      <x:c r="E22" s="42" t="n">
        <x:v>46045</x:v>
      </x:c>
      <x:c r="F22" s="37" t="n">
        <x:v>4</x:v>
      </x:c>
      <x:c r="G22" s="37" t="n">
        <x:v>5</x:v>
      </x:c>
      <x:c r="H22" s="37" t="n">
        <x:v>4</x:v>
      </x:c>
      <x:c r="I22" s="37" t="n">
        <x:v>5</x:v>
      </x:c>
      <x:c r="J22" s="37" t="n">
        <x:v>5</x:v>
      </x:c>
      <x:c r="K22" s="78" t="n">
        <x:v>0.35</x:v>
      </x:c>
      <x:c r="L22" s="37"/>
      <x:c r="M22" s="37"/>
      <x:c r="N22" s="37" t="str">
        <x:v>Maya Gurung</x:v>
      </x:c>
      <x:c r="O22" s="37" t="str">
        <x:v>Visible improvement in movement quality and confidence.</x:v>
      </x:c>
      <x:c r="P22" s="37" t="str">
        <x:v>Internal coaching note</x:v>
      </x:c>
      <x:c r="Q22" s="59" t="str">
        <x:f>IF(C22="","",C22&amp;"|"&amp;COUNTIF($C$6:C22,C22))</x:f>
        <x:v>MBR-0005|1</x:v>
      </x:c>
    </x:row>
    <x:row r="23">
      <x:c r="A23" s="37" t="str">
        <x:v>DEMO</x:v>
      </x:c>
      <x:c r="B23" s="59" t="str">
        <x:f>IF(OR(C23="",E23=""),"","ASM-"&amp;TEXT(E23,"yymmdd")&amp;"-"&amp;TEXT(ROW()-5,"0000"))</x:f>
        <x:v>ASM-260309-0018</x:v>
      </x:c>
      <x:c r="C23" s="37" t="str">
        <x:v>MBR-0005</x:v>
      </x:c>
      <x:c r="D23" s="63" t="str">
        <x:f>IFERROR(INDEX('02_MEMBERS'!$C$6:$C$105,MATCH(C23,'02_MEMBERS'!$B$6:$B$105,0)),"")</x:f>
        <x:v>Samira Rana</x:v>
      </x:c>
      <x:c r="E23" s="42" t="n">
        <x:v>46090</x:v>
      </x:c>
      <x:c r="F23" s="37" t="n">
        <x:v>5</x:v>
      </x:c>
      <x:c r="G23" s="37" t="n">
        <x:v>6</x:v>
      </x:c>
      <x:c r="H23" s="37" t="n">
        <x:v>5</x:v>
      </x:c>
      <x:c r="I23" s="37" t="n">
        <x:v>6</x:v>
      </x:c>
      <x:c r="J23" s="37" t="n">
        <x:v>6</x:v>
      </x:c>
      <x:c r="K23" s="78" t="n">
        <x:v>0.53</x:v>
      </x:c>
      <x:c r="L23" s="37"/>
      <x:c r="M23" s="37"/>
      <x:c r="N23" s="37" t="str">
        <x:v>Maya Gurung</x:v>
      </x:c>
      <x:c r="O23" s="37" t="str">
        <x:v>Visible improvement in movement quality and confidence.</x:v>
      </x:c>
      <x:c r="P23" s="37" t="str">
        <x:v>Internal coaching note</x:v>
      </x:c>
      <x:c r="Q23" s="59" t="str">
        <x:f>IF(C23="","",C23&amp;"|"&amp;COUNTIF($C$6:C23,C23))</x:f>
        <x:v>MBR-0005|2</x:v>
      </x:c>
    </x:row>
    <x:row r="24">
      <x:c r="A24" s="37" t="str">
        <x:v>DEMO</x:v>
      </x:c>
      <x:c r="B24" s="59" t="str">
        <x:f>IF(OR(C24="",E24=""),"","ASM-"&amp;TEXT(E24,"yymmdd")&amp;"-"&amp;TEXT(ROW()-5,"0000"))</x:f>
        <x:v>ASM-260423-0019</x:v>
      </x:c>
      <x:c r="C24" s="37" t="str">
        <x:v>MBR-0005</x:v>
      </x:c>
      <x:c r="D24" s="63" t="str">
        <x:f>IFERROR(INDEX('02_MEMBERS'!$C$6:$C$105,MATCH(C24,'02_MEMBERS'!$B$6:$B$105,0)),"")</x:f>
        <x:v>Samira Rana</x:v>
      </x:c>
      <x:c r="E24" s="42" t="n">
        <x:v>46135</x:v>
      </x:c>
      <x:c r="F24" s="37" t="n">
        <x:v>6</x:v>
      </x:c>
      <x:c r="G24" s="37" t="n">
        <x:v>7</x:v>
      </x:c>
      <x:c r="H24" s="37" t="n">
        <x:v>6</x:v>
      </x:c>
      <x:c r="I24" s="37" t="n">
        <x:v>7</x:v>
      </x:c>
      <x:c r="J24" s="37" t="n">
        <x:v>7</x:v>
      </x:c>
      <x:c r="K24" s="78" t="n">
        <x:v>0.71</x:v>
      </x:c>
      <x:c r="L24" s="37"/>
      <x:c r="M24" s="37"/>
      <x:c r="N24" s="37" t="str">
        <x:v>Maya Gurung</x:v>
      </x:c>
      <x:c r="O24" s="37" t="str">
        <x:v>Visible improvement in movement quality and confidence.</x:v>
      </x:c>
      <x:c r="P24" s="37" t="str">
        <x:v>Internal coaching note</x:v>
      </x:c>
      <x:c r="Q24" s="59" t="str">
        <x:f>IF(C24="","",C24&amp;"|"&amp;COUNTIF($C$6:C24,C24))</x:f>
        <x:v>MBR-0005|3</x:v>
      </x:c>
    </x:row>
    <x:row r="25">
      <x:c r="A25" s="37" t="str">
        <x:v>DEMO</x:v>
      </x:c>
      <x:c r="B25" s="59" t="str">
        <x:f>IF(OR(C25="",E25=""),"","ASM-"&amp;TEXT(E25,"yymmdd")&amp;"-"&amp;TEXT(ROW()-5,"0000"))</x:f>
        <x:v>ASM-260607-0020</x:v>
      </x:c>
      <x:c r="C25" s="37" t="str">
        <x:v>MBR-0005</x:v>
      </x:c>
      <x:c r="D25" s="63" t="str">
        <x:f>IFERROR(INDEX('02_MEMBERS'!$C$6:$C$105,MATCH(C25,'02_MEMBERS'!$B$6:$B$105,0)),"")</x:f>
        <x:v>Samira Rana</x:v>
      </x:c>
      <x:c r="E25" s="42" t="n">
        <x:v>46180</x:v>
      </x:c>
      <x:c r="F25" s="37" t="n">
        <x:v>7</x:v>
      </x:c>
      <x:c r="G25" s="37" t="n">
        <x:v>8</x:v>
      </x:c>
      <x:c r="H25" s="37" t="n">
        <x:v>7</x:v>
      </x:c>
      <x:c r="I25" s="37" t="n">
        <x:v>8</x:v>
      </x:c>
      <x:c r="J25" s="37" t="n">
        <x:v>8</x:v>
      </x:c>
      <x:c r="K25" s="78" t="n">
        <x:v>0.89</x:v>
      </x:c>
      <x:c r="L25" s="37"/>
      <x:c r="M25" s="37"/>
      <x:c r="N25" s="37" t="str">
        <x:v>Maya Gurung</x:v>
      </x:c>
      <x:c r="O25" s="37" t="str">
        <x:v>Visible improvement in movement quality and confidence.</x:v>
      </x:c>
      <x:c r="P25" s="37" t="str">
        <x:v>Internal coaching note</x:v>
      </x:c>
      <x:c r="Q25" s="59" t="str">
        <x:f>IF(C25="","",C25&amp;"|"&amp;COUNTIF($C$6:C25,C25))</x:f>
        <x:v>MBR-0005|4</x:v>
      </x:c>
    </x:row>
    <x:row r="26">
      <x:c r="A26" s="37" t="str">
        <x:v>DEMO</x:v>
      </x:c>
      <x:c r="B26" s="59" t="str">
        <x:f>IF(OR(C26="",E26=""),"","ASM-"&amp;TEXT(E26,"yymmdd")&amp;"-"&amp;TEXT(ROW()-5,"0000"))</x:f>
        <x:v>ASM-260125-0021</x:v>
      </x:c>
      <x:c r="C26" s="37" t="str">
        <x:v>MBR-0006</x:v>
      </x:c>
      <x:c r="D26" s="63" t="str">
        <x:f>IFERROR(INDEX('02_MEMBERS'!$C$6:$C$105,MATCH(C26,'02_MEMBERS'!$B$6:$B$105,0)),"")</x:f>
        <x:v>Isha Bista</x:v>
      </x:c>
      <x:c r="E26" s="42" t="n">
        <x:v>46047</x:v>
      </x:c>
      <x:c r="F26" s="37" t="n">
        <x:v>4</x:v>
      </x:c>
      <x:c r="G26" s="37" t="n">
        <x:v>5</x:v>
      </x:c>
      <x:c r="H26" s="37" t="n">
        <x:v>4</x:v>
      </x:c>
      <x:c r="I26" s="37" t="n">
        <x:v>5</x:v>
      </x:c>
      <x:c r="J26" s="37" t="n">
        <x:v>5</x:v>
      </x:c>
      <x:c r="K26" s="78" t="n">
        <x:v>0.35</x:v>
      </x:c>
      <x:c r="L26" s="37"/>
      <x:c r="M26" s="37"/>
      <x:c r="N26" s="37" t="str">
        <x:v>Maya Gurung</x:v>
      </x:c>
      <x:c r="O26" s="37" t="str">
        <x:v>Visible improvement in movement quality and confidence.</x:v>
      </x:c>
      <x:c r="P26" s="37" t="str">
        <x:v>Internal coaching note</x:v>
      </x:c>
      <x:c r="Q26" s="59" t="str">
        <x:f>IF(C26="","",C26&amp;"|"&amp;COUNTIF($C$6:C26,C26))</x:f>
        <x:v>MBR-0006|1</x:v>
      </x:c>
    </x:row>
    <x:row r="27">
      <x:c r="A27" s="37" t="str">
        <x:v>DEMO</x:v>
      </x:c>
      <x:c r="B27" s="59" t="str">
        <x:f>IF(OR(C27="",E27=""),"","ASM-"&amp;TEXT(E27,"yymmdd")&amp;"-"&amp;TEXT(ROW()-5,"0000"))</x:f>
        <x:v>ASM-260311-0022</x:v>
      </x:c>
      <x:c r="C27" s="37" t="str">
        <x:v>MBR-0006</x:v>
      </x:c>
      <x:c r="D27" s="63" t="str">
        <x:f>IFERROR(INDEX('02_MEMBERS'!$C$6:$C$105,MATCH(C27,'02_MEMBERS'!$B$6:$B$105,0)),"")</x:f>
        <x:v>Isha Bista</x:v>
      </x:c>
      <x:c r="E27" s="42" t="n">
        <x:v>46092</x:v>
      </x:c>
      <x:c r="F27" s="37" t="n">
        <x:v>5</x:v>
      </x:c>
      <x:c r="G27" s="37" t="n">
        <x:v>6</x:v>
      </x:c>
      <x:c r="H27" s="37" t="n">
        <x:v>5</x:v>
      </x:c>
      <x:c r="I27" s="37" t="n">
        <x:v>6</x:v>
      </x:c>
      <x:c r="J27" s="37" t="n">
        <x:v>6</x:v>
      </x:c>
      <x:c r="K27" s="78" t="n">
        <x:v>0.53</x:v>
      </x:c>
      <x:c r="L27" s="37"/>
      <x:c r="M27" s="37"/>
      <x:c r="N27" s="37" t="str">
        <x:v>Maya Gurung</x:v>
      </x:c>
      <x:c r="O27" s="37" t="str">
        <x:v>Visible improvement in movement quality and confidence.</x:v>
      </x:c>
      <x:c r="P27" s="37" t="str">
        <x:v>Internal coaching note</x:v>
      </x:c>
      <x:c r="Q27" s="59" t="str">
        <x:f>IF(C27="","",C27&amp;"|"&amp;COUNTIF($C$6:C27,C27))</x:f>
        <x:v>MBR-0006|2</x:v>
      </x:c>
    </x:row>
    <x:row r="28">
      <x:c r="A28" s="37" t="str">
        <x:v>DEMO</x:v>
      </x:c>
      <x:c r="B28" s="59" t="str">
        <x:f>IF(OR(C28="",E28=""),"","ASM-"&amp;TEXT(E28,"yymmdd")&amp;"-"&amp;TEXT(ROW()-5,"0000"))</x:f>
        <x:v>ASM-260425-0023</x:v>
      </x:c>
      <x:c r="C28" s="37" t="str">
        <x:v>MBR-0006</x:v>
      </x:c>
      <x:c r="D28" s="63" t="str">
        <x:f>IFERROR(INDEX('02_MEMBERS'!$C$6:$C$105,MATCH(C28,'02_MEMBERS'!$B$6:$B$105,0)),"")</x:f>
        <x:v>Isha Bista</x:v>
      </x:c>
      <x:c r="E28" s="42" t="n">
        <x:v>46137</x:v>
      </x:c>
      <x:c r="F28" s="37" t="n">
        <x:v>6</x:v>
      </x:c>
      <x:c r="G28" s="37" t="n">
        <x:v>7</x:v>
      </x:c>
      <x:c r="H28" s="37" t="n">
        <x:v>6</x:v>
      </x:c>
      <x:c r="I28" s="37" t="n">
        <x:v>7</x:v>
      </x:c>
      <x:c r="J28" s="37" t="n">
        <x:v>7</x:v>
      </x:c>
      <x:c r="K28" s="78" t="n">
        <x:v>0.71</x:v>
      </x:c>
      <x:c r="L28" s="37"/>
      <x:c r="M28" s="37"/>
      <x:c r="N28" s="37" t="str">
        <x:v>Maya Gurung</x:v>
      </x:c>
      <x:c r="O28" s="37" t="str">
        <x:v>Visible improvement in movement quality and confidence.</x:v>
      </x:c>
      <x:c r="P28" s="37" t="str">
        <x:v>Internal coaching note</x:v>
      </x:c>
      <x:c r="Q28" s="59" t="str">
        <x:f>IF(C28="","",C28&amp;"|"&amp;COUNTIF($C$6:C28,C28))</x:f>
        <x:v>MBR-0006|3</x:v>
      </x:c>
    </x:row>
    <x:row r="29">
      <x:c r="A29" s="37" t="str">
        <x:v>DEMO</x:v>
      </x:c>
      <x:c r="B29" s="59" t="str">
        <x:f>IF(OR(C29="",E29=""),"","ASM-"&amp;TEXT(E29,"yymmdd")&amp;"-"&amp;TEXT(ROW()-5,"0000"))</x:f>
        <x:v>ASM-260609-0024</x:v>
      </x:c>
      <x:c r="C29" s="37" t="str">
        <x:v>MBR-0006</x:v>
      </x:c>
      <x:c r="D29" s="63" t="str">
        <x:f>IFERROR(INDEX('02_MEMBERS'!$C$6:$C$105,MATCH(C29,'02_MEMBERS'!$B$6:$B$105,0)),"")</x:f>
        <x:v>Isha Bista</x:v>
      </x:c>
      <x:c r="E29" s="42" t="n">
        <x:v>46182</x:v>
      </x:c>
      <x:c r="F29" s="37" t="n">
        <x:v>7</x:v>
      </x:c>
      <x:c r="G29" s="37" t="n">
        <x:v>8</x:v>
      </x:c>
      <x:c r="H29" s="37" t="n">
        <x:v>7</x:v>
      </x:c>
      <x:c r="I29" s="37" t="n">
        <x:v>8</x:v>
      </x:c>
      <x:c r="J29" s="37" t="n">
        <x:v>8</x:v>
      </x:c>
      <x:c r="K29" s="78" t="n">
        <x:v>0.89</x:v>
      </x:c>
      <x:c r="L29" s="37"/>
      <x:c r="M29" s="37"/>
      <x:c r="N29" s="37" t="str">
        <x:v>Maya Gurung</x:v>
      </x:c>
      <x:c r="O29" s="37" t="str">
        <x:v>Visible improvement in movement quality and confidence.</x:v>
      </x:c>
      <x:c r="P29" s="37" t="str">
        <x:v>Internal coaching note</x:v>
      </x:c>
      <x:c r="Q29" s="59" t="str">
        <x:f>IF(C29="","",C29&amp;"|"&amp;COUNTIF($C$6:C29,C29))</x:f>
        <x:v>MBR-0006|4</x:v>
      </x:c>
    </x:row>
    <x:row r="30">
      <x:c r="A30" s="37"/>
      <x:c r="B30" s="59" t="str">
        <x:f>IF(OR(C30="",E30=""),"","ASM-"&amp;TEXT(E30,"yymmdd")&amp;"-"&amp;TEXT(ROW()-5,"0000"))</x:f>
      </x:c>
      <x:c r="C30" s="37"/>
      <x:c r="D30" s="63" t="str">
        <x:f>IFERROR(INDEX('02_MEMBERS'!$C$6:$C$105,MATCH(C30,'02_MEMBERS'!$B$6:$B$105,0)),"")</x:f>
      </x:c>
      <x:c r="E30" s="42"/>
      <x:c r="F30" s="37"/>
      <x:c r="G30" s="37"/>
      <x:c r="H30" s="37"/>
      <x:c r="I30" s="37"/>
      <x:c r="J30" s="37"/>
      <x:c r="K30" s="78"/>
      <x:c r="L30" s="37"/>
      <x:c r="M30" s="37"/>
      <x:c r="N30" s="37"/>
      <x:c r="O30" s="37"/>
      <x:c r="P30" s="37"/>
      <x:c r="Q30" s="59" t="str">
        <x:f>IF(C30="","",C30&amp;"|"&amp;COUNTIF($C$6:C30,C30))</x:f>
      </x:c>
    </x:row>
    <x:row r="31">
      <x:c r="A31" s="37"/>
      <x:c r="B31" s="59" t="str">
        <x:f>IF(OR(C31="",E31=""),"","ASM-"&amp;TEXT(E31,"yymmdd")&amp;"-"&amp;TEXT(ROW()-5,"0000"))</x:f>
      </x:c>
      <x:c r="C31" s="37"/>
      <x:c r="D31" s="63" t="str">
        <x:f>IFERROR(INDEX('02_MEMBERS'!$C$6:$C$105,MATCH(C31,'02_MEMBERS'!$B$6:$B$105,0)),"")</x:f>
      </x:c>
      <x:c r="E31" s="42"/>
      <x:c r="F31" s="37"/>
      <x:c r="G31" s="37"/>
      <x:c r="H31" s="37"/>
      <x:c r="I31" s="37"/>
      <x:c r="J31" s="37"/>
      <x:c r="K31" s="78"/>
      <x:c r="L31" s="37"/>
      <x:c r="M31" s="37"/>
      <x:c r="N31" s="37"/>
      <x:c r="O31" s="37"/>
      <x:c r="P31" s="37"/>
      <x:c r="Q31" s="59" t="str">
        <x:f>IF(C31="","",C31&amp;"|"&amp;COUNTIF($C$6:C31,C31))</x:f>
      </x:c>
    </x:row>
    <x:row r="32">
      <x:c r="A32" s="37"/>
      <x:c r="B32" s="59" t="str">
        <x:f>IF(OR(C32="",E32=""),"","ASM-"&amp;TEXT(E32,"yymmdd")&amp;"-"&amp;TEXT(ROW()-5,"0000"))</x:f>
      </x:c>
      <x:c r="C32" s="37"/>
      <x:c r="D32" s="63" t="str">
        <x:f>IFERROR(INDEX('02_MEMBERS'!$C$6:$C$105,MATCH(C32,'02_MEMBERS'!$B$6:$B$105,0)),"")</x:f>
      </x:c>
      <x:c r="E32" s="42"/>
      <x:c r="F32" s="37"/>
      <x:c r="G32" s="37"/>
      <x:c r="H32" s="37"/>
      <x:c r="I32" s="37"/>
      <x:c r="J32" s="37"/>
      <x:c r="K32" s="78"/>
      <x:c r="L32" s="37"/>
      <x:c r="M32" s="37"/>
      <x:c r="N32" s="37"/>
      <x:c r="O32" s="37"/>
      <x:c r="P32" s="37"/>
      <x:c r="Q32" s="59" t="str">
        <x:f>IF(C32="","",C32&amp;"|"&amp;COUNTIF($C$6:C32,C32))</x:f>
      </x:c>
    </x:row>
    <x:row r="33">
      <x:c r="A33" s="37"/>
      <x:c r="B33" s="59" t="str">
        <x:f>IF(OR(C33="",E33=""),"","ASM-"&amp;TEXT(E33,"yymmdd")&amp;"-"&amp;TEXT(ROW()-5,"0000"))</x:f>
      </x:c>
      <x:c r="C33" s="37"/>
      <x:c r="D33" s="63" t="str">
        <x:f>IFERROR(INDEX('02_MEMBERS'!$C$6:$C$105,MATCH(C33,'02_MEMBERS'!$B$6:$B$105,0)),"")</x:f>
      </x:c>
      <x:c r="E33" s="42"/>
      <x:c r="F33" s="37"/>
      <x:c r="G33" s="37"/>
      <x:c r="H33" s="37"/>
      <x:c r="I33" s="37"/>
      <x:c r="J33" s="37"/>
      <x:c r="K33" s="78"/>
      <x:c r="L33" s="37"/>
      <x:c r="M33" s="37"/>
      <x:c r="N33" s="37"/>
      <x:c r="O33" s="37"/>
      <x:c r="P33" s="37"/>
      <x:c r="Q33" s="59" t="str">
        <x:f>IF(C33="","",C33&amp;"|"&amp;COUNTIF($C$6:C33,C33))</x:f>
      </x:c>
    </x:row>
    <x:row r="34">
      <x:c r="A34" s="37"/>
      <x:c r="B34" s="59" t="str">
        <x:f>IF(OR(C34="",E34=""),"","ASM-"&amp;TEXT(E34,"yymmdd")&amp;"-"&amp;TEXT(ROW()-5,"0000"))</x:f>
      </x:c>
      <x:c r="C34" s="37"/>
      <x:c r="D34" s="63" t="str">
        <x:f>IFERROR(INDEX('02_MEMBERS'!$C$6:$C$105,MATCH(C34,'02_MEMBERS'!$B$6:$B$105,0)),"")</x:f>
      </x:c>
      <x:c r="E34" s="42"/>
      <x:c r="F34" s="37"/>
      <x:c r="G34" s="37"/>
      <x:c r="H34" s="37"/>
      <x:c r="I34" s="37"/>
      <x:c r="J34" s="37"/>
      <x:c r="K34" s="78"/>
      <x:c r="L34" s="37"/>
      <x:c r="M34" s="37"/>
      <x:c r="N34" s="37"/>
      <x:c r="O34" s="37"/>
      <x:c r="P34" s="37"/>
      <x:c r="Q34" s="59" t="str">
        <x:f>IF(C34="","",C34&amp;"|"&amp;COUNTIF($C$6:C34,C34))</x:f>
      </x:c>
    </x:row>
    <x:row r="35">
      <x:c r="A35" s="37"/>
      <x:c r="B35" s="59" t="str">
        <x:f>IF(OR(C35="",E35=""),"","ASM-"&amp;TEXT(E35,"yymmdd")&amp;"-"&amp;TEXT(ROW()-5,"0000"))</x:f>
      </x:c>
      <x:c r="C35" s="37"/>
      <x:c r="D35" s="63" t="str">
        <x:f>IFERROR(INDEX('02_MEMBERS'!$C$6:$C$105,MATCH(C35,'02_MEMBERS'!$B$6:$B$105,0)),"")</x:f>
      </x:c>
      <x:c r="E35" s="42"/>
      <x:c r="F35" s="37"/>
      <x:c r="G35" s="37"/>
      <x:c r="H35" s="37"/>
      <x:c r="I35" s="37"/>
      <x:c r="J35" s="37"/>
      <x:c r="K35" s="78"/>
      <x:c r="L35" s="37"/>
      <x:c r="M35" s="37"/>
      <x:c r="N35" s="37"/>
      <x:c r="O35" s="37"/>
      <x:c r="P35" s="37"/>
      <x:c r="Q35" s="59" t="str">
        <x:f>IF(C35="","",C35&amp;"|"&amp;COUNTIF($C$6:C35,C35))</x:f>
      </x:c>
    </x:row>
    <x:row r="36">
      <x:c r="A36" s="37"/>
      <x:c r="B36" s="59" t="str">
        <x:f>IF(OR(C36="",E36=""),"","ASM-"&amp;TEXT(E36,"yymmdd")&amp;"-"&amp;TEXT(ROW()-5,"0000"))</x:f>
      </x:c>
      <x:c r="C36" s="37"/>
      <x:c r="D36" s="63" t="str">
        <x:f>IFERROR(INDEX('02_MEMBERS'!$C$6:$C$105,MATCH(C36,'02_MEMBERS'!$B$6:$B$105,0)),"")</x:f>
      </x:c>
      <x:c r="E36" s="42"/>
      <x:c r="F36" s="37"/>
      <x:c r="G36" s="37"/>
      <x:c r="H36" s="37"/>
      <x:c r="I36" s="37"/>
      <x:c r="J36" s="37"/>
      <x:c r="K36" s="78"/>
      <x:c r="L36" s="37"/>
      <x:c r="M36" s="37"/>
      <x:c r="N36" s="37"/>
      <x:c r="O36" s="37"/>
      <x:c r="P36" s="37"/>
      <x:c r="Q36" s="59" t="str">
        <x:f>IF(C36="","",C36&amp;"|"&amp;COUNTIF($C$6:C36,C36))</x:f>
      </x:c>
    </x:row>
    <x:row r="37">
      <x:c r="A37" s="37"/>
      <x:c r="B37" s="59" t="str">
        <x:f>IF(OR(C37="",E37=""),"","ASM-"&amp;TEXT(E37,"yymmdd")&amp;"-"&amp;TEXT(ROW()-5,"0000"))</x:f>
      </x:c>
      <x:c r="C37" s="37"/>
      <x:c r="D37" s="63" t="str">
        <x:f>IFERROR(INDEX('02_MEMBERS'!$C$6:$C$105,MATCH(C37,'02_MEMBERS'!$B$6:$B$105,0)),"")</x:f>
      </x:c>
      <x:c r="E37" s="42"/>
      <x:c r="F37" s="37"/>
      <x:c r="G37" s="37"/>
      <x:c r="H37" s="37"/>
      <x:c r="I37" s="37"/>
      <x:c r="J37" s="37"/>
      <x:c r="K37" s="78"/>
      <x:c r="L37" s="37"/>
      <x:c r="M37" s="37"/>
      <x:c r="N37" s="37"/>
      <x:c r="O37" s="37"/>
      <x:c r="P37" s="37"/>
      <x:c r="Q37" s="59" t="str">
        <x:f>IF(C37="","",C37&amp;"|"&amp;COUNTIF($C$6:C37,C37))</x:f>
      </x:c>
    </x:row>
    <x:row r="38">
      <x:c r="A38" s="37"/>
      <x:c r="B38" s="59" t="str">
        <x:f>IF(OR(C38="",E38=""),"","ASM-"&amp;TEXT(E38,"yymmdd")&amp;"-"&amp;TEXT(ROW()-5,"0000"))</x:f>
      </x:c>
      <x:c r="C38" s="37"/>
      <x:c r="D38" s="63" t="str">
        <x:f>IFERROR(INDEX('02_MEMBERS'!$C$6:$C$105,MATCH(C38,'02_MEMBERS'!$B$6:$B$105,0)),"")</x:f>
      </x:c>
      <x:c r="E38" s="42"/>
      <x:c r="F38" s="37"/>
      <x:c r="G38" s="37"/>
      <x:c r="H38" s="37"/>
      <x:c r="I38" s="37"/>
      <x:c r="J38" s="37"/>
      <x:c r="K38" s="78"/>
      <x:c r="L38" s="37"/>
      <x:c r="M38" s="37"/>
      <x:c r="N38" s="37"/>
      <x:c r="O38" s="37"/>
      <x:c r="P38" s="37"/>
      <x:c r="Q38" s="59" t="str">
        <x:f>IF(C38="","",C38&amp;"|"&amp;COUNTIF($C$6:C38,C38))</x:f>
      </x:c>
    </x:row>
    <x:row r="39">
      <x:c r="A39" s="37"/>
      <x:c r="B39" s="59" t="str">
        <x:f>IF(OR(C39="",E39=""),"","ASM-"&amp;TEXT(E39,"yymmdd")&amp;"-"&amp;TEXT(ROW()-5,"0000"))</x:f>
      </x:c>
      <x:c r="C39" s="37"/>
      <x:c r="D39" s="63" t="str">
        <x:f>IFERROR(INDEX('02_MEMBERS'!$C$6:$C$105,MATCH(C39,'02_MEMBERS'!$B$6:$B$105,0)),"")</x:f>
      </x:c>
      <x:c r="E39" s="42"/>
      <x:c r="F39" s="37"/>
      <x:c r="G39" s="37"/>
      <x:c r="H39" s="37"/>
      <x:c r="I39" s="37"/>
      <x:c r="J39" s="37"/>
      <x:c r="K39" s="78"/>
      <x:c r="L39" s="37"/>
      <x:c r="M39" s="37"/>
      <x:c r="N39" s="37"/>
      <x:c r="O39" s="37"/>
      <x:c r="P39" s="37"/>
      <x:c r="Q39" s="59" t="str">
        <x:f>IF(C39="","",C39&amp;"|"&amp;COUNTIF($C$6:C39,C39))</x:f>
      </x:c>
    </x:row>
    <x:row r="40">
      <x:c r="A40" s="37"/>
      <x:c r="B40" s="59" t="str">
        <x:f>IF(OR(C40="",E40=""),"","ASM-"&amp;TEXT(E40,"yymmdd")&amp;"-"&amp;TEXT(ROW()-5,"0000"))</x:f>
      </x:c>
      <x:c r="C40" s="37"/>
      <x:c r="D40" s="63" t="str">
        <x:f>IFERROR(INDEX('02_MEMBERS'!$C$6:$C$105,MATCH(C40,'02_MEMBERS'!$B$6:$B$105,0)),"")</x:f>
      </x:c>
      <x:c r="E40" s="42"/>
      <x:c r="F40" s="37"/>
      <x:c r="G40" s="37"/>
      <x:c r="H40" s="37"/>
      <x:c r="I40" s="37"/>
      <x:c r="J40" s="37"/>
      <x:c r="K40" s="78"/>
      <x:c r="L40" s="37"/>
      <x:c r="M40" s="37"/>
      <x:c r="N40" s="37"/>
      <x:c r="O40" s="37"/>
      <x:c r="P40" s="37"/>
      <x:c r="Q40" s="59" t="str">
        <x:f>IF(C40="","",C40&amp;"|"&amp;COUNTIF($C$6:C40,C40))</x:f>
      </x:c>
    </x:row>
    <x:row r="41">
      <x:c r="A41" s="37"/>
      <x:c r="B41" s="59" t="str">
        <x:f>IF(OR(C41="",E41=""),"","ASM-"&amp;TEXT(E41,"yymmdd")&amp;"-"&amp;TEXT(ROW()-5,"0000"))</x:f>
      </x:c>
      <x:c r="C41" s="37"/>
      <x:c r="D41" s="63" t="str">
        <x:f>IFERROR(INDEX('02_MEMBERS'!$C$6:$C$105,MATCH(C41,'02_MEMBERS'!$B$6:$B$105,0)),"")</x:f>
      </x:c>
      <x:c r="E41" s="42"/>
      <x:c r="F41" s="37"/>
      <x:c r="G41" s="37"/>
      <x:c r="H41" s="37"/>
      <x:c r="I41" s="37"/>
      <x:c r="J41" s="37"/>
      <x:c r="K41" s="78"/>
      <x:c r="L41" s="37"/>
      <x:c r="M41" s="37"/>
      <x:c r="N41" s="37"/>
      <x:c r="O41" s="37"/>
      <x:c r="P41" s="37"/>
      <x:c r="Q41" s="59" t="str">
        <x:f>IF(C41="","",C41&amp;"|"&amp;COUNTIF($C$6:C41,C41))</x:f>
      </x:c>
    </x:row>
    <x:row r="42">
      <x:c r="A42" s="37"/>
      <x:c r="B42" s="59" t="str">
        <x:f>IF(OR(C42="",E42=""),"","ASM-"&amp;TEXT(E42,"yymmdd")&amp;"-"&amp;TEXT(ROW()-5,"0000"))</x:f>
      </x:c>
      <x:c r="C42" s="37"/>
      <x:c r="D42" s="63" t="str">
        <x:f>IFERROR(INDEX('02_MEMBERS'!$C$6:$C$105,MATCH(C42,'02_MEMBERS'!$B$6:$B$105,0)),"")</x:f>
      </x:c>
      <x:c r="E42" s="42"/>
      <x:c r="F42" s="37"/>
      <x:c r="G42" s="37"/>
      <x:c r="H42" s="37"/>
      <x:c r="I42" s="37"/>
      <x:c r="J42" s="37"/>
      <x:c r="K42" s="78"/>
      <x:c r="L42" s="37"/>
      <x:c r="M42" s="37"/>
      <x:c r="N42" s="37"/>
      <x:c r="O42" s="37"/>
      <x:c r="P42" s="37"/>
      <x:c r="Q42" s="59" t="str">
        <x:f>IF(C42="","",C42&amp;"|"&amp;COUNTIF($C$6:C42,C42))</x:f>
      </x:c>
    </x:row>
    <x:row r="43">
      <x:c r="A43" s="37"/>
      <x:c r="B43" s="59" t="str">
        <x:f>IF(OR(C43="",E43=""),"","ASM-"&amp;TEXT(E43,"yymmdd")&amp;"-"&amp;TEXT(ROW()-5,"0000"))</x:f>
      </x:c>
      <x:c r="C43" s="37"/>
      <x:c r="D43" s="63" t="str">
        <x:f>IFERROR(INDEX('02_MEMBERS'!$C$6:$C$105,MATCH(C43,'02_MEMBERS'!$B$6:$B$105,0)),"")</x:f>
      </x:c>
      <x:c r="E43" s="42"/>
      <x:c r="F43" s="37"/>
      <x:c r="G43" s="37"/>
      <x:c r="H43" s="37"/>
      <x:c r="I43" s="37"/>
      <x:c r="J43" s="37"/>
      <x:c r="K43" s="78"/>
      <x:c r="L43" s="37"/>
      <x:c r="M43" s="37"/>
      <x:c r="N43" s="37"/>
      <x:c r="O43" s="37"/>
      <x:c r="P43" s="37"/>
      <x:c r="Q43" s="59" t="str">
        <x:f>IF(C43="","",C43&amp;"|"&amp;COUNTIF($C$6:C43,C43))</x:f>
      </x:c>
    </x:row>
    <x:row r="44">
      <x:c r="A44" s="37"/>
      <x:c r="B44" s="59" t="str">
        <x:f>IF(OR(C44="",E44=""),"","ASM-"&amp;TEXT(E44,"yymmdd")&amp;"-"&amp;TEXT(ROW()-5,"0000"))</x:f>
      </x:c>
      <x:c r="C44" s="37"/>
      <x:c r="D44" s="63" t="str">
        <x:f>IFERROR(INDEX('02_MEMBERS'!$C$6:$C$105,MATCH(C44,'02_MEMBERS'!$B$6:$B$105,0)),"")</x:f>
      </x:c>
      <x:c r="E44" s="42"/>
      <x:c r="F44" s="37"/>
      <x:c r="G44" s="37"/>
      <x:c r="H44" s="37"/>
      <x:c r="I44" s="37"/>
      <x:c r="J44" s="37"/>
      <x:c r="K44" s="78"/>
      <x:c r="L44" s="37"/>
      <x:c r="M44" s="37"/>
      <x:c r="N44" s="37"/>
      <x:c r="O44" s="37"/>
      <x:c r="P44" s="37"/>
      <x:c r="Q44" s="59" t="str">
        <x:f>IF(C44="","",C44&amp;"|"&amp;COUNTIF($C$6:C44,C44))</x:f>
      </x:c>
    </x:row>
    <x:row r="45">
      <x:c r="A45" s="37"/>
      <x:c r="B45" s="59" t="str">
        <x:f>IF(OR(C45="",E45=""),"","ASM-"&amp;TEXT(E45,"yymmdd")&amp;"-"&amp;TEXT(ROW()-5,"0000"))</x:f>
      </x:c>
      <x:c r="C45" s="37"/>
      <x:c r="D45" s="63" t="str">
        <x:f>IFERROR(INDEX('02_MEMBERS'!$C$6:$C$105,MATCH(C45,'02_MEMBERS'!$B$6:$B$105,0)),"")</x:f>
      </x:c>
      <x:c r="E45" s="42"/>
      <x:c r="F45" s="37"/>
      <x:c r="G45" s="37"/>
      <x:c r="H45" s="37"/>
      <x:c r="I45" s="37"/>
      <x:c r="J45" s="37"/>
      <x:c r="K45" s="78"/>
      <x:c r="L45" s="37"/>
      <x:c r="M45" s="37"/>
      <x:c r="N45" s="37"/>
      <x:c r="O45" s="37"/>
      <x:c r="P45" s="37"/>
      <x:c r="Q45" s="59" t="str">
        <x:f>IF(C45="","",C45&amp;"|"&amp;COUNTIF($C$6:C45,C45))</x:f>
      </x:c>
    </x:row>
    <x:row r="46">
      <x:c r="A46" s="37"/>
      <x:c r="B46" s="59" t="str">
        <x:f>IF(OR(C46="",E46=""),"","ASM-"&amp;TEXT(E46,"yymmdd")&amp;"-"&amp;TEXT(ROW()-5,"0000"))</x:f>
      </x:c>
      <x:c r="C46" s="37"/>
      <x:c r="D46" s="63" t="str">
        <x:f>IFERROR(INDEX('02_MEMBERS'!$C$6:$C$105,MATCH(C46,'02_MEMBERS'!$B$6:$B$105,0)),"")</x:f>
      </x:c>
      <x:c r="E46" s="42"/>
      <x:c r="F46" s="37"/>
      <x:c r="G46" s="37"/>
      <x:c r="H46" s="37"/>
      <x:c r="I46" s="37"/>
      <x:c r="J46" s="37"/>
      <x:c r="K46" s="78"/>
      <x:c r="L46" s="37"/>
      <x:c r="M46" s="37"/>
      <x:c r="N46" s="37"/>
      <x:c r="O46" s="37"/>
      <x:c r="P46" s="37"/>
      <x:c r="Q46" s="59" t="str">
        <x:f>IF(C46="","",C46&amp;"|"&amp;COUNTIF($C$6:C46,C46))</x:f>
      </x:c>
    </x:row>
    <x:row r="47">
      <x:c r="A47" s="37"/>
      <x:c r="B47" s="59" t="str">
        <x:f>IF(OR(C47="",E47=""),"","ASM-"&amp;TEXT(E47,"yymmdd")&amp;"-"&amp;TEXT(ROW()-5,"0000"))</x:f>
      </x:c>
      <x:c r="C47" s="37"/>
      <x:c r="D47" s="63" t="str">
        <x:f>IFERROR(INDEX('02_MEMBERS'!$C$6:$C$105,MATCH(C47,'02_MEMBERS'!$B$6:$B$105,0)),"")</x:f>
      </x:c>
      <x:c r="E47" s="42"/>
      <x:c r="F47" s="37"/>
      <x:c r="G47" s="37"/>
      <x:c r="H47" s="37"/>
      <x:c r="I47" s="37"/>
      <x:c r="J47" s="37"/>
      <x:c r="K47" s="78"/>
      <x:c r="L47" s="37"/>
      <x:c r="M47" s="37"/>
      <x:c r="N47" s="37"/>
      <x:c r="O47" s="37"/>
      <x:c r="P47" s="37"/>
      <x:c r="Q47" s="59" t="str">
        <x:f>IF(C47="","",C47&amp;"|"&amp;COUNTIF($C$6:C47,C47))</x:f>
      </x:c>
    </x:row>
    <x:row r="48">
      <x:c r="A48" s="37"/>
      <x:c r="B48" s="59" t="str">
        <x:f>IF(OR(C48="",E48=""),"","ASM-"&amp;TEXT(E48,"yymmdd")&amp;"-"&amp;TEXT(ROW()-5,"0000"))</x:f>
      </x:c>
      <x:c r="C48" s="37"/>
      <x:c r="D48" s="63" t="str">
        <x:f>IFERROR(INDEX('02_MEMBERS'!$C$6:$C$105,MATCH(C48,'02_MEMBERS'!$B$6:$B$105,0)),"")</x:f>
      </x:c>
      <x:c r="E48" s="42"/>
      <x:c r="F48" s="37"/>
      <x:c r="G48" s="37"/>
      <x:c r="H48" s="37"/>
      <x:c r="I48" s="37"/>
      <x:c r="J48" s="37"/>
      <x:c r="K48" s="78"/>
      <x:c r="L48" s="37"/>
      <x:c r="M48" s="37"/>
      <x:c r="N48" s="37"/>
      <x:c r="O48" s="37"/>
      <x:c r="P48" s="37"/>
      <x:c r="Q48" s="59" t="str">
        <x:f>IF(C48="","",C48&amp;"|"&amp;COUNTIF($C$6:C48,C48))</x:f>
      </x:c>
    </x:row>
    <x:row r="49">
      <x:c r="A49" s="37"/>
      <x:c r="B49" s="59" t="str">
        <x:f>IF(OR(C49="",E49=""),"","ASM-"&amp;TEXT(E49,"yymmdd")&amp;"-"&amp;TEXT(ROW()-5,"0000"))</x:f>
      </x:c>
      <x:c r="C49" s="37"/>
      <x:c r="D49" s="63" t="str">
        <x:f>IFERROR(INDEX('02_MEMBERS'!$C$6:$C$105,MATCH(C49,'02_MEMBERS'!$B$6:$B$105,0)),"")</x:f>
      </x:c>
      <x:c r="E49" s="42"/>
      <x:c r="F49" s="37"/>
      <x:c r="G49" s="37"/>
      <x:c r="H49" s="37"/>
      <x:c r="I49" s="37"/>
      <x:c r="J49" s="37"/>
      <x:c r="K49" s="78"/>
      <x:c r="L49" s="37"/>
      <x:c r="M49" s="37"/>
      <x:c r="N49" s="37"/>
      <x:c r="O49" s="37"/>
      <x:c r="P49" s="37"/>
      <x:c r="Q49" s="59" t="str">
        <x:f>IF(C49="","",C49&amp;"|"&amp;COUNTIF($C$6:C49,C49))</x:f>
      </x:c>
    </x:row>
    <x:row r="50">
      <x:c r="A50" s="37"/>
      <x:c r="B50" s="59" t="str">
        <x:f>IF(OR(C50="",E50=""),"","ASM-"&amp;TEXT(E50,"yymmdd")&amp;"-"&amp;TEXT(ROW()-5,"0000"))</x:f>
      </x:c>
      <x:c r="C50" s="37"/>
      <x:c r="D50" s="63" t="str">
        <x:f>IFERROR(INDEX('02_MEMBERS'!$C$6:$C$105,MATCH(C50,'02_MEMBERS'!$B$6:$B$105,0)),"")</x:f>
      </x:c>
      <x:c r="E50" s="42"/>
      <x:c r="F50" s="37"/>
      <x:c r="G50" s="37"/>
      <x:c r="H50" s="37"/>
      <x:c r="I50" s="37"/>
      <x:c r="J50" s="37"/>
      <x:c r="K50" s="78"/>
      <x:c r="L50" s="37"/>
      <x:c r="M50" s="37"/>
      <x:c r="N50" s="37"/>
      <x:c r="O50" s="37"/>
      <x:c r="P50" s="37"/>
      <x:c r="Q50" s="59" t="str">
        <x:f>IF(C50="","",C50&amp;"|"&amp;COUNTIF($C$6:C50,C50))</x:f>
      </x:c>
    </x:row>
    <x:row r="51">
      <x:c r="A51" s="37"/>
      <x:c r="B51" s="59" t="str">
        <x:f>IF(OR(C51="",E51=""),"","ASM-"&amp;TEXT(E51,"yymmdd")&amp;"-"&amp;TEXT(ROW()-5,"0000"))</x:f>
      </x:c>
      <x:c r="C51" s="37"/>
      <x:c r="D51" s="63" t="str">
        <x:f>IFERROR(INDEX('02_MEMBERS'!$C$6:$C$105,MATCH(C51,'02_MEMBERS'!$B$6:$B$105,0)),"")</x:f>
      </x:c>
      <x:c r="E51" s="42"/>
      <x:c r="F51" s="37"/>
      <x:c r="G51" s="37"/>
      <x:c r="H51" s="37"/>
      <x:c r="I51" s="37"/>
      <x:c r="J51" s="37"/>
      <x:c r="K51" s="78"/>
      <x:c r="L51" s="37"/>
      <x:c r="M51" s="37"/>
      <x:c r="N51" s="37"/>
      <x:c r="O51" s="37"/>
      <x:c r="P51" s="37"/>
      <x:c r="Q51" s="59" t="str">
        <x:f>IF(C51="","",C51&amp;"|"&amp;COUNTIF($C$6:C51,C51))</x:f>
      </x:c>
    </x:row>
    <x:row r="52">
      <x:c r="A52" s="37"/>
      <x:c r="B52" s="59" t="str">
        <x:f>IF(OR(C52="",E52=""),"","ASM-"&amp;TEXT(E52,"yymmdd")&amp;"-"&amp;TEXT(ROW()-5,"0000"))</x:f>
      </x:c>
      <x:c r="C52" s="37"/>
      <x:c r="D52" s="63" t="str">
        <x:f>IFERROR(INDEX('02_MEMBERS'!$C$6:$C$105,MATCH(C52,'02_MEMBERS'!$B$6:$B$105,0)),"")</x:f>
      </x:c>
      <x:c r="E52" s="42"/>
      <x:c r="F52" s="37"/>
      <x:c r="G52" s="37"/>
      <x:c r="H52" s="37"/>
      <x:c r="I52" s="37"/>
      <x:c r="J52" s="37"/>
      <x:c r="K52" s="78"/>
      <x:c r="L52" s="37"/>
      <x:c r="M52" s="37"/>
      <x:c r="N52" s="37"/>
      <x:c r="O52" s="37"/>
      <x:c r="P52" s="37"/>
      <x:c r="Q52" s="59" t="str">
        <x:f>IF(C52="","",C52&amp;"|"&amp;COUNTIF($C$6:C52,C52))</x:f>
      </x:c>
    </x:row>
    <x:row r="53">
      <x:c r="A53" s="37"/>
      <x:c r="B53" s="59" t="str">
        <x:f>IF(OR(C53="",E53=""),"","ASM-"&amp;TEXT(E53,"yymmdd")&amp;"-"&amp;TEXT(ROW()-5,"0000"))</x:f>
      </x:c>
      <x:c r="C53" s="37"/>
      <x:c r="D53" s="63" t="str">
        <x:f>IFERROR(INDEX('02_MEMBERS'!$C$6:$C$105,MATCH(C53,'02_MEMBERS'!$B$6:$B$105,0)),"")</x:f>
      </x:c>
      <x:c r="E53" s="42"/>
      <x:c r="F53" s="37"/>
      <x:c r="G53" s="37"/>
      <x:c r="H53" s="37"/>
      <x:c r="I53" s="37"/>
      <x:c r="J53" s="37"/>
      <x:c r="K53" s="78"/>
      <x:c r="L53" s="37"/>
      <x:c r="M53" s="37"/>
      <x:c r="N53" s="37"/>
      <x:c r="O53" s="37"/>
      <x:c r="P53" s="37"/>
      <x:c r="Q53" s="59" t="str">
        <x:f>IF(C53="","",C53&amp;"|"&amp;COUNTIF($C$6:C53,C53))</x:f>
      </x:c>
    </x:row>
    <x:row r="54">
      <x:c r="A54" s="37"/>
      <x:c r="B54" s="59" t="str">
        <x:f>IF(OR(C54="",E54=""),"","ASM-"&amp;TEXT(E54,"yymmdd")&amp;"-"&amp;TEXT(ROW()-5,"0000"))</x:f>
      </x:c>
      <x:c r="C54" s="37"/>
      <x:c r="D54" s="63" t="str">
        <x:f>IFERROR(INDEX('02_MEMBERS'!$C$6:$C$105,MATCH(C54,'02_MEMBERS'!$B$6:$B$105,0)),"")</x:f>
      </x:c>
      <x:c r="E54" s="42"/>
      <x:c r="F54" s="37"/>
      <x:c r="G54" s="37"/>
      <x:c r="H54" s="37"/>
      <x:c r="I54" s="37"/>
      <x:c r="J54" s="37"/>
      <x:c r="K54" s="78"/>
      <x:c r="L54" s="37"/>
      <x:c r="M54" s="37"/>
      <x:c r="N54" s="37"/>
      <x:c r="O54" s="37"/>
      <x:c r="P54" s="37"/>
      <x:c r="Q54" s="59" t="str">
        <x:f>IF(C54="","",C54&amp;"|"&amp;COUNTIF($C$6:C54,C54))</x:f>
      </x:c>
    </x:row>
    <x:row r="55">
      <x:c r="A55" s="37"/>
      <x:c r="B55" s="59" t="str">
        <x:f>IF(OR(C55="",E55=""),"","ASM-"&amp;TEXT(E55,"yymmdd")&amp;"-"&amp;TEXT(ROW()-5,"0000"))</x:f>
      </x:c>
      <x:c r="C55" s="37"/>
      <x:c r="D55" s="63" t="str">
        <x:f>IFERROR(INDEX('02_MEMBERS'!$C$6:$C$105,MATCH(C55,'02_MEMBERS'!$B$6:$B$105,0)),"")</x:f>
      </x:c>
      <x:c r="E55" s="42"/>
      <x:c r="F55" s="37"/>
      <x:c r="G55" s="37"/>
      <x:c r="H55" s="37"/>
      <x:c r="I55" s="37"/>
      <x:c r="J55" s="37"/>
      <x:c r="K55" s="78"/>
      <x:c r="L55" s="37"/>
      <x:c r="M55" s="37"/>
      <x:c r="N55" s="37"/>
      <x:c r="O55" s="37"/>
      <x:c r="P55" s="37"/>
      <x:c r="Q55" s="59" t="str">
        <x:f>IF(C55="","",C55&amp;"|"&amp;COUNTIF($C$6:C55,C55))</x:f>
      </x:c>
    </x:row>
    <x:row r="56">
      <x:c r="A56" s="37"/>
      <x:c r="B56" s="59" t="str">
        <x:f>IF(OR(C56="",E56=""),"","ASM-"&amp;TEXT(E56,"yymmdd")&amp;"-"&amp;TEXT(ROW()-5,"0000"))</x:f>
      </x:c>
      <x:c r="C56" s="37"/>
      <x:c r="D56" s="63" t="str">
        <x:f>IFERROR(INDEX('02_MEMBERS'!$C$6:$C$105,MATCH(C56,'02_MEMBERS'!$B$6:$B$105,0)),"")</x:f>
      </x:c>
      <x:c r="E56" s="42"/>
      <x:c r="F56" s="37"/>
      <x:c r="G56" s="37"/>
      <x:c r="H56" s="37"/>
      <x:c r="I56" s="37"/>
      <x:c r="J56" s="37"/>
      <x:c r="K56" s="78"/>
      <x:c r="L56" s="37"/>
      <x:c r="M56" s="37"/>
      <x:c r="N56" s="37"/>
      <x:c r="O56" s="37"/>
      <x:c r="P56" s="37"/>
      <x:c r="Q56" s="59" t="str">
        <x:f>IF(C56="","",C56&amp;"|"&amp;COUNTIF($C$6:C56,C56))</x:f>
      </x:c>
    </x:row>
    <x:row r="57">
      <x:c r="A57" s="37"/>
      <x:c r="B57" s="59" t="str">
        <x:f>IF(OR(C57="",E57=""),"","ASM-"&amp;TEXT(E57,"yymmdd")&amp;"-"&amp;TEXT(ROW()-5,"0000"))</x:f>
      </x:c>
      <x:c r="C57" s="37"/>
      <x:c r="D57" s="63" t="str">
        <x:f>IFERROR(INDEX('02_MEMBERS'!$C$6:$C$105,MATCH(C57,'02_MEMBERS'!$B$6:$B$105,0)),"")</x:f>
      </x:c>
      <x:c r="E57" s="42"/>
      <x:c r="F57" s="37"/>
      <x:c r="G57" s="37"/>
      <x:c r="H57" s="37"/>
      <x:c r="I57" s="37"/>
      <x:c r="J57" s="37"/>
      <x:c r="K57" s="78"/>
      <x:c r="L57" s="37"/>
      <x:c r="M57" s="37"/>
      <x:c r="N57" s="37"/>
      <x:c r="O57" s="37"/>
      <x:c r="P57" s="37"/>
      <x:c r="Q57" s="59" t="str">
        <x:f>IF(C57="","",C57&amp;"|"&amp;COUNTIF($C$6:C57,C57))</x:f>
      </x:c>
    </x:row>
    <x:row r="58">
      <x:c r="A58" s="37"/>
      <x:c r="B58" s="59" t="str">
        <x:f>IF(OR(C58="",E58=""),"","ASM-"&amp;TEXT(E58,"yymmdd")&amp;"-"&amp;TEXT(ROW()-5,"0000"))</x:f>
      </x:c>
      <x:c r="C58" s="37"/>
      <x:c r="D58" s="63" t="str">
        <x:f>IFERROR(INDEX('02_MEMBERS'!$C$6:$C$105,MATCH(C58,'02_MEMBERS'!$B$6:$B$105,0)),"")</x:f>
      </x:c>
      <x:c r="E58" s="42"/>
      <x:c r="F58" s="37"/>
      <x:c r="G58" s="37"/>
      <x:c r="H58" s="37"/>
      <x:c r="I58" s="37"/>
      <x:c r="J58" s="37"/>
      <x:c r="K58" s="78"/>
      <x:c r="L58" s="37"/>
      <x:c r="M58" s="37"/>
      <x:c r="N58" s="37"/>
      <x:c r="O58" s="37"/>
      <x:c r="P58" s="37"/>
      <x:c r="Q58" s="59" t="str">
        <x:f>IF(C58="","",C58&amp;"|"&amp;COUNTIF($C$6:C58,C58))</x:f>
      </x:c>
    </x:row>
    <x:row r="59">
      <x:c r="A59" s="37"/>
      <x:c r="B59" s="59" t="str">
        <x:f>IF(OR(C59="",E59=""),"","ASM-"&amp;TEXT(E59,"yymmdd")&amp;"-"&amp;TEXT(ROW()-5,"0000"))</x:f>
      </x:c>
      <x:c r="C59" s="37"/>
      <x:c r="D59" s="63" t="str">
        <x:f>IFERROR(INDEX('02_MEMBERS'!$C$6:$C$105,MATCH(C59,'02_MEMBERS'!$B$6:$B$105,0)),"")</x:f>
      </x:c>
      <x:c r="E59" s="42"/>
      <x:c r="F59" s="37"/>
      <x:c r="G59" s="37"/>
      <x:c r="H59" s="37"/>
      <x:c r="I59" s="37"/>
      <x:c r="J59" s="37"/>
      <x:c r="K59" s="78"/>
      <x:c r="L59" s="37"/>
      <x:c r="M59" s="37"/>
      <x:c r="N59" s="37"/>
      <x:c r="O59" s="37"/>
      <x:c r="P59" s="37"/>
      <x:c r="Q59" s="59" t="str">
        <x:f>IF(C59="","",C59&amp;"|"&amp;COUNTIF($C$6:C59,C59))</x:f>
      </x:c>
    </x:row>
    <x:row r="60">
      <x:c r="A60" s="37"/>
      <x:c r="B60" s="59" t="str">
        <x:f>IF(OR(C60="",E60=""),"","ASM-"&amp;TEXT(E60,"yymmdd")&amp;"-"&amp;TEXT(ROW()-5,"0000"))</x:f>
      </x:c>
      <x:c r="C60" s="37"/>
      <x:c r="D60" s="63" t="str">
        <x:f>IFERROR(INDEX('02_MEMBERS'!$C$6:$C$105,MATCH(C60,'02_MEMBERS'!$B$6:$B$105,0)),"")</x:f>
      </x:c>
      <x:c r="E60" s="42"/>
      <x:c r="F60" s="37"/>
      <x:c r="G60" s="37"/>
      <x:c r="H60" s="37"/>
      <x:c r="I60" s="37"/>
      <x:c r="J60" s="37"/>
      <x:c r="K60" s="78"/>
      <x:c r="L60" s="37"/>
      <x:c r="M60" s="37"/>
      <x:c r="N60" s="37"/>
      <x:c r="O60" s="37"/>
      <x:c r="P60" s="37"/>
      <x:c r="Q60" s="59" t="str">
        <x:f>IF(C60="","",C60&amp;"|"&amp;COUNTIF($C$6:C60,C60))</x:f>
      </x:c>
    </x:row>
    <x:row r="61">
      <x:c r="A61" s="37"/>
      <x:c r="B61" s="59" t="str">
        <x:f>IF(OR(C61="",E61=""),"","ASM-"&amp;TEXT(E61,"yymmdd")&amp;"-"&amp;TEXT(ROW()-5,"0000"))</x:f>
      </x:c>
      <x:c r="C61" s="37"/>
      <x:c r="D61" s="63" t="str">
        <x:f>IFERROR(INDEX('02_MEMBERS'!$C$6:$C$105,MATCH(C61,'02_MEMBERS'!$B$6:$B$105,0)),"")</x:f>
      </x:c>
      <x:c r="E61" s="42"/>
      <x:c r="F61" s="37"/>
      <x:c r="G61" s="37"/>
      <x:c r="H61" s="37"/>
      <x:c r="I61" s="37"/>
      <x:c r="J61" s="37"/>
      <x:c r="K61" s="78"/>
      <x:c r="L61" s="37"/>
      <x:c r="M61" s="37"/>
      <x:c r="N61" s="37"/>
      <x:c r="O61" s="37"/>
      <x:c r="P61" s="37"/>
      <x:c r="Q61" s="59" t="str">
        <x:f>IF(C61="","",C61&amp;"|"&amp;COUNTIF($C$6:C61,C61))</x:f>
      </x:c>
    </x:row>
    <x:row r="62">
      <x:c r="A62" s="37"/>
      <x:c r="B62" s="59" t="str">
        <x:f>IF(OR(C62="",E62=""),"","ASM-"&amp;TEXT(E62,"yymmdd")&amp;"-"&amp;TEXT(ROW()-5,"0000"))</x:f>
      </x:c>
      <x:c r="C62" s="37"/>
      <x:c r="D62" s="63" t="str">
        <x:f>IFERROR(INDEX('02_MEMBERS'!$C$6:$C$105,MATCH(C62,'02_MEMBERS'!$B$6:$B$105,0)),"")</x:f>
      </x:c>
      <x:c r="E62" s="42"/>
      <x:c r="F62" s="37"/>
      <x:c r="G62" s="37"/>
      <x:c r="H62" s="37"/>
      <x:c r="I62" s="37"/>
      <x:c r="J62" s="37"/>
      <x:c r="K62" s="78"/>
      <x:c r="L62" s="37"/>
      <x:c r="M62" s="37"/>
      <x:c r="N62" s="37"/>
      <x:c r="O62" s="37"/>
      <x:c r="P62" s="37"/>
      <x:c r="Q62" s="59" t="str">
        <x:f>IF(C62="","",C62&amp;"|"&amp;COUNTIF($C$6:C62,C62))</x:f>
      </x:c>
    </x:row>
    <x:row r="63">
      <x:c r="A63" s="37"/>
      <x:c r="B63" s="59" t="str">
        <x:f>IF(OR(C63="",E63=""),"","ASM-"&amp;TEXT(E63,"yymmdd")&amp;"-"&amp;TEXT(ROW()-5,"0000"))</x:f>
      </x:c>
      <x:c r="C63" s="37"/>
      <x:c r="D63" s="63" t="str">
        <x:f>IFERROR(INDEX('02_MEMBERS'!$C$6:$C$105,MATCH(C63,'02_MEMBERS'!$B$6:$B$105,0)),"")</x:f>
      </x:c>
      <x:c r="E63" s="42"/>
      <x:c r="F63" s="37"/>
      <x:c r="G63" s="37"/>
      <x:c r="H63" s="37"/>
      <x:c r="I63" s="37"/>
      <x:c r="J63" s="37"/>
      <x:c r="K63" s="78"/>
      <x:c r="L63" s="37"/>
      <x:c r="M63" s="37"/>
      <x:c r="N63" s="37"/>
      <x:c r="O63" s="37"/>
      <x:c r="P63" s="37"/>
      <x:c r="Q63" s="59" t="str">
        <x:f>IF(C63="","",C63&amp;"|"&amp;COUNTIF($C$6:C63,C63))</x:f>
      </x:c>
    </x:row>
    <x:row r="64">
      <x:c r="A64" s="37"/>
      <x:c r="B64" s="59" t="str">
        <x:f>IF(OR(C64="",E64=""),"","ASM-"&amp;TEXT(E64,"yymmdd")&amp;"-"&amp;TEXT(ROW()-5,"0000"))</x:f>
      </x:c>
      <x:c r="C64" s="37"/>
      <x:c r="D64" s="63" t="str">
        <x:f>IFERROR(INDEX('02_MEMBERS'!$C$6:$C$105,MATCH(C64,'02_MEMBERS'!$B$6:$B$105,0)),"")</x:f>
      </x:c>
      <x:c r="E64" s="42"/>
      <x:c r="F64" s="37"/>
      <x:c r="G64" s="37"/>
      <x:c r="H64" s="37"/>
      <x:c r="I64" s="37"/>
      <x:c r="J64" s="37"/>
      <x:c r="K64" s="78"/>
      <x:c r="L64" s="37"/>
      <x:c r="M64" s="37"/>
      <x:c r="N64" s="37"/>
      <x:c r="O64" s="37"/>
      <x:c r="P64" s="37"/>
      <x:c r="Q64" s="59" t="str">
        <x:f>IF(C64="","",C64&amp;"|"&amp;COUNTIF($C$6:C64,C64))</x:f>
      </x:c>
    </x:row>
    <x:row r="65">
      <x:c r="A65" s="37"/>
      <x:c r="B65" s="59" t="str">
        <x:f>IF(OR(C65="",E65=""),"","ASM-"&amp;TEXT(E65,"yymmdd")&amp;"-"&amp;TEXT(ROW()-5,"0000"))</x:f>
      </x:c>
      <x:c r="C65" s="37"/>
      <x:c r="D65" s="63" t="str">
        <x:f>IFERROR(INDEX('02_MEMBERS'!$C$6:$C$105,MATCH(C65,'02_MEMBERS'!$B$6:$B$105,0)),"")</x:f>
      </x:c>
      <x:c r="E65" s="42"/>
      <x:c r="F65" s="37"/>
      <x:c r="G65" s="37"/>
      <x:c r="H65" s="37"/>
      <x:c r="I65" s="37"/>
      <x:c r="J65" s="37"/>
      <x:c r="K65" s="78"/>
      <x:c r="L65" s="37"/>
      <x:c r="M65" s="37"/>
      <x:c r="N65" s="37"/>
      <x:c r="O65" s="37"/>
      <x:c r="P65" s="37"/>
      <x:c r="Q65" s="59" t="str">
        <x:f>IF(C65="","",C65&amp;"|"&amp;COUNTIF($C$6:C65,C65))</x:f>
      </x:c>
    </x:row>
    <x:row r="66">
      <x:c r="A66" s="37"/>
      <x:c r="B66" s="59" t="str">
        <x:f>IF(OR(C66="",E66=""),"","ASM-"&amp;TEXT(E66,"yymmdd")&amp;"-"&amp;TEXT(ROW()-5,"0000"))</x:f>
      </x:c>
      <x:c r="C66" s="37"/>
      <x:c r="D66" s="63" t="str">
        <x:f>IFERROR(INDEX('02_MEMBERS'!$C$6:$C$105,MATCH(C66,'02_MEMBERS'!$B$6:$B$105,0)),"")</x:f>
      </x:c>
      <x:c r="E66" s="42"/>
      <x:c r="F66" s="37"/>
      <x:c r="G66" s="37"/>
      <x:c r="H66" s="37"/>
      <x:c r="I66" s="37"/>
      <x:c r="J66" s="37"/>
      <x:c r="K66" s="78"/>
      <x:c r="L66" s="37"/>
      <x:c r="M66" s="37"/>
      <x:c r="N66" s="37"/>
      <x:c r="O66" s="37"/>
      <x:c r="P66" s="37"/>
      <x:c r="Q66" s="59" t="str">
        <x:f>IF(C66="","",C66&amp;"|"&amp;COUNTIF($C$6:C66,C66))</x:f>
      </x:c>
    </x:row>
    <x:row r="67">
      <x:c r="A67" s="37"/>
      <x:c r="B67" s="59" t="str">
        <x:f>IF(OR(C67="",E67=""),"","ASM-"&amp;TEXT(E67,"yymmdd")&amp;"-"&amp;TEXT(ROW()-5,"0000"))</x:f>
      </x:c>
      <x:c r="C67" s="37"/>
      <x:c r="D67" s="63" t="str">
        <x:f>IFERROR(INDEX('02_MEMBERS'!$C$6:$C$105,MATCH(C67,'02_MEMBERS'!$B$6:$B$105,0)),"")</x:f>
      </x:c>
      <x:c r="E67" s="42"/>
      <x:c r="F67" s="37"/>
      <x:c r="G67" s="37"/>
      <x:c r="H67" s="37"/>
      <x:c r="I67" s="37"/>
      <x:c r="J67" s="37"/>
      <x:c r="K67" s="78"/>
      <x:c r="L67" s="37"/>
      <x:c r="M67" s="37"/>
      <x:c r="N67" s="37"/>
      <x:c r="O67" s="37"/>
      <x:c r="P67" s="37"/>
      <x:c r="Q67" s="59" t="str">
        <x:f>IF(C67="","",C67&amp;"|"&amp;COUNTIF($C$6:C67,C67))</x:f>
      </x:c>
    </x:row>
    <x:row r="68">
      <x:c r="A68" s="37"/>
      <x:c r="B68" s="59" t="str">
        <x:f>IF(OR(C68="",E68=""),"","ASM-"&amp;TEXT(E68,"yymmdd")&amp;"-"&amp;TEXT(ROW()-5,"0000"))</x:f>
      </x:c>
      <x:c r="C68" s="37"/>
      <x:c r="D68" s="63" t="str">
        <x:f>IFERROR(INDEX('02_MEMBERS'!$C$6:$C$105,MATCH(C68,'02_MEMBERS'!$B$6:$B$105,0)),"")</x:f>
      </x:c>
      <x:c r="E68" s="42"/>
      <x:c r="F68" s="37"/>
      <x:c r="G68" s="37"/>
      <x:c r="H68" s="37"/>
      <x:c r="I68" s="37"/>
      <x:c r="J68" s="37"/>
      <x:c r="K68" s="78"/>
      <x:c r="L68" s="37"/>
      <x:c r="M68" s="37"/>
      <x:c r="N68" s="37"/>
      <x:c r="O68" s="37"/>
      <x:c r="P68" s="37"/>
      <x:c r="Q68" s="59" t="str">
        <x:f>IF(C68="","",C68&amp;"|"&amp;COUNTIF($C$6:C68,C68))</x:f>
      </x:c>
    </x:row>
    <x:row r="69">
      <x:c r="A69" s="37"/>
      <x:c r="B69" s="59" t="str">
        <x:f>IF(OR(C69="",E69=""),"","ASM-"&amp;TEXT(E69,"yymmdd")&amp;"-"&amp;TEXT(ROW()-5,"0000"))</x:f>
      </x:c>
      <x:c r="C69" s="37"/>
      <x:c r="D69" s="63" t="str">
        <x:f>IFERROR(INDEX('02_MEMBERS'!$C$6:$C$105,MATCH(C69,'02_MEMBERS'!$B$6:$B$105,0)),"")</x:f>
      </x:c>
      <x:c r="E69" s="42"/>
      <x:c r="F69" s="37"/>
      <x:c r="G69" s="37"/>
      <x:c r="H69" s="37"/>
      <x:c r="I69" s="37"/>
      <x:c r="J69" s="37"/>
      <x:c r="K69" s="78"/>
      <x:c r="L69" s="37"/>
      <x:c r="M69" s="37"/>
      <x:c r="N69" s="37"/>
      <x:c r="O69" s="37"/>
      <x:c r="P69" s="37"/>
      <x:c r="Q69" s="59" t="str">
        <x:f>IF(C69="","",C69&amp;"|"&amp;COUNTIF($C$6:C69,C69))</x:f>
      </x:c>
    </x:row>
    <x:row r="70">
      <x:c r="A70" s="37"/>
      <x:c r="B70" s="59" t="str">
        <x:f>IF(OR(C70="",E70=""),"","ASM-"&amp;TEXT(E70,"yymmdd")&amp;"-"&amp;TEXT(ROW()-5,"0000"))</x:f>
      </x:c>
      <x:c r="C70" s="37"/>
      <x:c r="D70" s="63" t="str">
        <x:f>IFERROR(INDEX('02_MEMBERS'!$C$6:$C$105,MATCH(C70,'02_MEMBERS'!$B$6:$B$105,0)),"")</x:f>
      </x:c>
      <x:c r="E70" s="42"/>
      <x:c r="F70" s="37"/>
      <x:c r="G70" s="37"/>
      <x:c r="H70" s="37"/>
      <x:c r="I70" s="37"/>
      <x:c r="J70" s="37"/>
      <x:c r="K70" s="78"/>
      <x:c r="L70" s="37"/>
      <x:c r="M70" s="37"/>
      <x:c r="N70" s="37"/>
      <x:c r="O70" s="37"/>
      <x:c r="P70" s="37"/>
      <x:c r="Q70" s="59" t="str">
        <x:f>IF(C70="","",C70&amp;"|"&amp;COUNTIF($C$6:C70,C70))</x:f>
      </x:c>
    </x:row>
    <x:row r="71">
      <x:c r="A71" s="37"/>
      <x:c r="B71" s="59" t="str">
        <x:f>IF(OR(C71="",E71=""),"","ASM-"&amp;TEXT(E71,"yymmdd")&amp;"-"&amp;TEXT(ROW()-5,"0000"))</x:f>
      </x:c>
      <x:c r="C71" s="37"/>
      <x:c r="D71" s="63" t="str">
        <x:f>IFERROR(INDEX('02_MEMBERS'!$C$6:$C$105,MATCH(C71,'02_MEMBERS'!$B$6:$B$105,0)),"")</x:f>
      </x:c>
      <x:c r="E71" s="42"/>
      <x:c r="F71" s="37"/>
      <x:c r="G71" s="37"/>
      <x:c r="H71" s="37"/>
      <x:c r="I71" s="37"/>
      <x:c r="J71" s="37"/>
      <x:c r="K71" s="78"/>
      <x:c r="L71" s="37"/>
      <x:c r="M71" s="37"/>
      <x:c r="N71" s="37"/>
      <x:c r="O71" s="37"/>
      <x:c r="P71" s="37"/>
      <x:c r="Q71" s="59" t="str">
        <x:f>IF(C71="","",C71&amp;"|"&amp;COUNTIF($C$6:C71,C71))</x:f>
      </x:c>
    </x:row>
    <x:row r="72">
      <x:c r="A72" s="37"/>
      <x:c r="B72" s="59" t="str">
        <x:f>IF(OR(C72="",E72=""),"","ASM-"&amp;TEXT(E72,"yymmdd")&amp;"-"&amp;TEXT(ROW()-5,"0000"))</x:f>
      </x:c>
      <x:c r="C72" s="37"/>
      <x:c r="D72" s="63" t="str">
        <x:f>IFERROR(INDEX('02_MEMBERS'!$C$6:$C$105,MATCH(C72,'02_MEMBERS'!$B$6:$B$105,0)),"")</x:f>
      </x:c>
      <x:c r="E72" s="42"/>
      <x:c r="F72" s="37"/>
      <x:c r="G72" s="37"/>
      <x:c r="H72" s="37"/>
      <x:c r="I72" s="37"/>
      <x:c r="J72" s="37"/>
      <x:c r="K72" s="78"/>
      <x:c r="L72" s="37"/>
      <x:c r="M72" s="37"/>
      <x:c r="N72" s="37"/>
      <x:c r="O72" s="37"/>
      <x:c r="P72" s="37"/>
      <x:c r="Q72" s="59" t="str">
        <x:f>IF(C72="","",C72&amp;"|"&amp;COUNTIF($C$6:C72,C72))</x:f>
      </x:c>
    </x:row>
    <x:row r="73">
      <x:c r="A73" s="37"/>
      <x:c r="B73" s="59" t="str">
        <x:f>IF(OR(C73="",E73=""),"","ASM-"&amp;TEXT(E73,"yymmdd")&amp;"-"&amp;TEXT(ROW()-5,"0000"))</x:f>
      </x:c>
      <x:c r="C73" s="37"/>
      <x:c r="D73" s="63" t="str">
        <x:f>IFERROR(INDEX('02_MEMBERS'!$C$6:$C$105,MATCH(C73,'02_MEMBERS'!$B$6:$B$105,0)),"")</x:f>
      </x:c>
      <x:c r="E73" s="42"/>
      <x:c r="F73" s="37"/>
      <x:c r="G73" s="37"/>
      <x:c r="H73" s="37"/>
      <x:c r="I73" s="37"/>
      <x:c r="J73" s="37"/>
      <x:c r="K73" s="78"/>
      <x:c r="L73" s="37"/>
      <x:c r="M73" s="37"/>
      <x:c r="N73" s="37"/>
      <x:c r="O73" s="37"/>
      <x:c r="P73" s="37"/>
      <x:c r="Q73" s="59" t="str">
        <x:f>IF(C73="","",C73&amp;"|"&amp;COUNTIF($C$6:C73,C73))</x:f>
      </x:c>
    </x:row>
    <x:row r="74">
      <x:c r="A74" s="37"/>
      <x:c r="B74" s="59" t="str">
        <x:f>IF(OR(C74="",E74=""),"","ASM-"&amp;TEXT(E74,"yymmdd")&amp;"-"&amp;TEXT(ROW()-5,"0000"))</x:f>
      </x:c>
      <x:c r="C74" s="37"/>
      <x:c r="D74" s="63" t="str">
        <x:f>IFERROR(INDEX('02_MEMBERS'!$C$6:$C$105,MATCH(C74,'02_MEMBERS'!$B$6:$B$105,0)),"")</x:f>
      </x:c>
      <x:c r="E74" s="42"/>
      <x:c r="F74" s="37"/>
      <x:c r="G74" s="37"/>
      <x:c r="H74" s="37"/>
      <x:c r="I74" s="37"/>
      <x:c r="J74" s="37"/>
      <x:c r="K74" s="78"/>
      <x:c r="L74" s="37"/>
      <x:c r="M74" s="37"/>
      <x:c r="N74" s="37"/>
      <x:c r="O74" s="37"/>
      <x:c r="P74" s="37"/>
      <x:c r="Q74" s="59" t="str">
        <x:f>IF(C74="","",C74&amp;"|"&amp;COUNTIF($C$6:C74,C74))</x:f>
      </x:c>
    </x:row>
    <x:row r="75">
      <x:c r="A75" s="37"/>
      <x:c r="B75" s="59" t="str">
        <x:f>IF(OR(C75="",E75=""),"","ASM-"&amp;TEXT(E75,"yymmdd")&amp;"-"&amp;TEXT(ROW()-5,"0000"))</x:f>
      </x:c>
      <x:c r="C75" s="37"/>
      <x:c r="D75" s="63" t="str">
        <x:f>IFERROR(INDEX('02_MEMBERS'!$C$6:$C$105,MATCH(C75,'02_MEMBERS'!$B$6:$B$105,0)),"")</x:f>
      </x:c>
      <x:c r="E75" s="42"/>
      <x:c r="F75" s="37"/>
      <x:c r="G75" s="37"/>
      <x:c r="H75" s="37"/>
      <x:c r="I75" s="37"/>
      <x:c r="J75" s="37"/>
      <x:c r="K75" s="78"/>
      <x:c r="L75" s="37"/>
      <x:c r="M75" s="37"/>
      <x:c r="N75" s="37"/>
      <x:c r="O75" s="37"/>
      <x:c r="P75" s="37"/>
      <x:c r="Q75" s="59" t="str">
        <x:f>IF(C75="","",C75&amp;"|"&amp;COUNTIF($C$6:C75,C75))</x:f>
      </x:c>
    </x:row>
    <x:row r="76">
      <x:c r="A76" s="37"/>
      <x:c r="B76" s="59" t="str">
        <x:f>IF(OR(C76="",E76=""),"","ASM-"&amp;TEXT(E76,"yymmdd")&amp;"-"&amp;TEXT(ROW()-5,"0000"))</x:f>
      </x:c>
      <x:c r="C76" s="37"/>
      <x:c r="D76" s="63" t="str">
        <x:f>IFERROR(INDEX('02_MEMBERS'!$C$6:$C$105,MATCH(C76,'02_MEMBERS'!$B$6:$B$105,0)),"")</x:f>
      </x:c>
      <x:c r="E76" s="42"/>
      <x:c r="F76" s="37"/>
      <x:c r="G76" s="37"/>
      <x:c r="H76" s="37"/>
      <x:c r="I76" s="37"/>
      <x:c r="J76" s="37"/>
      <x:c r="K76" s="78"/>
      <x:c r="L76" s="37"/>
      <x:c r="M76" s="37"/>
      <x:c r="N76" s="37"/>
      <x:c r="O76" s="37"/>
      <x:c r="P76" s="37"/>
      <x:c r="Q76" s="59" t="str">
        <x:f>IF(C76="","",C76&amp;"|"&amp;COUNTIF($C$6:C76,C76))</x:f>
      </x:c>
    </x:row>
    <x:row r="77">
      <x:c r="A77" s="37"/>
      <x:c r="B77" s="59" t="str">
        <x:f>IF(OR(C77="",E77=""),"","ASM-"&amp;TEXT(E77,"yymmdd")&amp;"-"&amp;TEXT(ROW()-5,"0000"))</x:f>
      </x:c>
      <x:c r="C77" s="37"/>
      <x:c r="D77" s="63" t="str">
        <x:f>IFERROR(INDEX('02_MEMBERS'!$C$6:$C$105,MATCH(C77,'02_MEMBERS'!$B$6:$B$105,0)),"")</x:f>
      </x:c>
      <x:c r="E77" s="42"/>
      <x:c r="F77" s="37"/>
      <x:c r="G77" s="37"/>
      <x:c r="H77" s="37"/>
      <x:c r="I77" s="37"/>
      <x:c r="J77" s="37"/>
      <x:c r="K77" s="78"/>
      <x:c r="L77" s="37"/>
      <x:c r="M77" s="37"/>
      <x:c r="N77" s="37"/>
      <x:c r="O77" s="37"/>
      <x:c r="P77" s="37"/>
      <x:c r="Q77" s="59" t="str">
        <x:f>IF(C77="","",C77&amp;"|"&amp;COUNTIF($C$6:C77,C77))</x:f>
      </x:c>
    </x:row>
    <x:row r="78">
      <x:c r="A78" s="37"/>
      <x:c r="B78" s="59" t="str">
        <x:f>IF(OR(C78="",E78=""),"","ASM-"&amp;TEXT(E78,"yymmdd")&amp;"-"&amp;TEXT(ROW()-5,"0000"))</x:f>
      </x:c>
      <x:c r="C78" s="37"/>
      <x:c r="D78" s="63" t="str">
        <x:f>IFERROR(INDEX('02_MEMBERS'!$C$6:$C$105,MATCH(C78,'02_MEMBERS'!$B$6:$B$105,0)),"")</x:f>
      </x:c>
      <x:c r="E78" s="42"/>
      <x:c r="F78" s="37"/>
      <x:c r="G78" s="37"/>
      <x:c r="H78" s="37"/>
      <x:c r="I78" s="37"/>
      <x:c r="J78" s="37"/>
      <x:c r="K78" s="78"/>
      <x:c r="L78" s="37"/>
      <x:c r="M78" s="37"/>
      <x:c r="N78" s="37"/>
      <x:c r="O78" s="37"/>
      <x:c r="P78" s="37"/>
      <x:c r="Q78" s="59" t="str">
        <x:f>IF(C78="","",C78&amp;"|"&amp;COUNTIF($C$6:C78,C78))</x:f>
      </x:c>
    </x:row>
    <x:row r="79">
      <x:c r="A79" s="37"/>
      <x:c r="B79" s="59" t="str">
        <x:f>IF(OR(C79="",E79=""),"","ASM-"&amp;TEXT(E79,"yymmdd")&amp;"-"&amp;TEXT(ROW()-5,"0000"))</x:f>
      </x:c>
      <x:c r="C79" s="37"/>
      <x:c r="D79" s="63" t="str">
        <x:f>IFERROR(INDEX('02_MEMBERS'!$C$6:$C$105,MATCH(C79,'02_MEMBERS'!$B$6:$B$105,0)),"")</x:f>
      </x:c>
      <x:c r="E79" s="42"/>
      <x:c r="F79" s="37"/>
      <x:c r="G79" s="37"/>
      <x:c r="H79" s="37"/>
      <x:c r="I79" s="37"/>
      <x:c r="J79" s="37"/>
      <x:c r="K79" s="78"/>
      <x:c r="L79" s="37"/>
      <x:c r="M79" s="37"/>
      <x:c r="N79" s="37"/>
      <x:c r="O79" s="37"/>
      <x:c r="P79" s="37"/>
      <x:c r="Q79" s="59" t="str">
        <x:f>IF(C79="","",C79&amp;"|"&amp;COUNTIF($C$6:C79,C79))</x:f>
      </x:c>
    </x:row>
    <x:row r="80">
      <x:c r="A80" s="37"/>
      <x:c r="B80" s="59" t="str">
        <x:f>IF(OR(C80="",E80=""),"","ASM-"&amp;TEXT(E80,"yymmdd")&amp;"-"&amp;TEXT(ROW()-5,"0000"))</x:f>
      </x:c>
      <x:c r="C80" s="37"/>
      <x:c r="D80" s="63" t="str">
        <x:f>IFERROR(INDEX('02_MEMBERS'!$C$6:$C$105,MATCH(C80,'02_MEMBERS'!$B$6:$B$105,0)),"")</x:f>
      </x:c>
      <x:c r="E80" s="42"/>
      <x:c r="F80" s="37"/>
      <x:c r="G80" s="37"/>
      <x:c r="H80" s="37"/>
      <x:c r="I80" s="37"/>
      <x:c r="J80" s="37"/>
      <x:c r="K80" s="78"/>
      <x:c r="L80" s="37"/>
      <x:c r="M80" s="37"/>
      <x:c r="N80" s="37"/>
      <x:c r="O80" s="37"/>
      <x:c r="P80" s="37"/>
      <x:c r="Q80" s="59" t="str">
        <x:f>IF(C80="","",C80&amp;"|"&amp;COUNTIF($C$6:C80,C80))</x:f>
      </x:c>
    </x:row>
    <x:row r="81">
      <x:c r="A81" s="37"/>
      <x:c r="B81" s="59" t="str">
        <x:f>IF(OR(C81="",E81=""),"","ASM-"&amp;TEXT(E81,"yymmdd")&amp;"-"&amp;TEXT(ROW()-5,"0000"))</x:f>
      </x:c>
      <x:c r="C81" s="37"/>
      <x:c r="D81" s="63" t="str">
        <x:f>IFERROR(INDEX('02_MEMBERS'!$C$6:$C$105,MATCH(C81,'02_MEMBERS'!$B$6:$B$105,0)),"")</x:f>
      </x:c>
      <x:c r="E81" s="42"/>
      <x:c r="F81" s="37"/>
      <x:c r="G81" s="37"/>
      <x:c r="H81" s="37"/>
      <x:c r="I81" s="37"/>
      <x:c r="J81" s="37"/>
      <x:c r="K81" s="78"/>
      <x:c r="L81" s="37"/>
      <x:c r="M81" s="37"/>
      <x:c r="N81" s="37"/>
      <x:c r="O81" s="37"/>
      <x:c r="P81" s="37"/>
      <x:c r="Q81" s="59" t="str">
        <x:f>IF(C81="","",C81&amp;"|"&amp;COUNTIF($C$6:C81,C81))</x:f>
      </x:c>
    </x:row>
    <x:row r="82">
      <x:c r="A82" s="37"/>
      <x:c r="B82" s="59" t="str">
        <x:f>IF(OR(C82="",E82=""),"","ASM-"&amp;TEXT(E82,"yymmdd")&amp;"-"&amp;TEXT(ROW()-5,"0000"))</x:f>
      </x:c>
      <x:c r="C82" s="37"/>
      <x:c r="D82" s="63" t="str">
        <x:f>IFERROR(INDEX('02_MEMBERS'!$C$6:$C$105,MATCH(C82,'02_MEMBERS'!$B$6:$B$105,0)),"")</x:f>
      </x:c>
      <x:c r="E82" s="42"/>
      <x:c r="F82" s="37"/>
      <x:c r="G82" s="37"/>
      <x:c r="H82" s="37"/>
      <x:c r="I82" s="37"/>
      <x:c r="J82" s="37"/>
      <x:c r="K82" s="78"/>
      <x:c r="L82" s="37"/>
      <x:c r="M82" s="37"/>
      <x:c r="N82" s="37"/>
      <x:c r="O82" s="37"/>
      <x:c r="P82" s="37"/>
      <x:c r="Q82" s="59" t="str">
        <x:f>IF(C82="","",C82&amp;"|"&amp;COUNTIF($C$6:C82,C82))</x:f>
      </x:c>
    </x:row>
    <x:row r="83">
      <x:c r="A83" s="37"/>
      <x:c r="B83" s="59" t="str">
        <x:f>IF(OR(C83="",E83=""),"","ASM-"&amp;TEXT(E83,"yymmdd")&amp;"-"&amp;TEXT(ROW()-5,"0000"))</x:f>
      </x:c>
      <x:c r="C83" s="37"/>
      <x:c r="D83" s="63" t="str">
        <x:f>IFERROR(INDEX('02_MEMBERS'!$C$6:$C$105,MATCH(C83,'02_MEMBERS'!$B$6:$B$105,0)),"")</x:f>
      </x:c>
      <x:c r="E83" s="42"/>
      <x:c r="F83" s="37"/>
      <x:c r="G83" s="37"/>
      <x:c r="H83" s="37"/>
      <x:c r="I83" s="37"/>
      <x:c r="J83" s="37"/>
      <x:c r="K83" s="78"/>
      <x:c r="L83" s="37"/>
      <x:c r="M83" s="37"/>
      <x:c r="N83" s="37"/>
      <x:c r="O83" s="37"/>
      <x:c r="P83" s="37"/>
      <x:c r="Q83" s="59" t="str">
        <x:f>IF(C83="","",C83&amp;"|"&amp;COUNTIF($C$6:C83,C83))</x:f>
      </x:c>
    </x:row>
    <x:row r="84">
      <x:c r="A84" s="37"/>
      <x:c r="B84" s="59" t="str">
        <x:f>IF(OR(C84="",E84=""),"","ASM-"&amp;TEXT(E84,"yymmdd")&amp;"-"&amp;TEXT(ROW()-5,"0000"))</x:f>
      </x:c>
      <x:c r="C84" s="37"/>
      <x:c r="D84" s="63" t="str">
        <x:f>IFERROR(INDEX('02_MEMBERS'!$C$6:$C$105,MATCH(C84,'02_MEMBERS'!$B$6:$B$105,0)),"")</x:f>
      </x:c>
      <x:c r="E84" s="42"/>
      <x:c r="F84" s="37"/>
      <x:c r="G84" s="37"/>
      <x:c r="H84" s="37"/>
      <x:c r="I84" s="37"/>
      <x:c r="J84" s="37"/>
      <x:c r="K84" s="78"/>
      <x:c r="L84" s="37"/>
      <x:c r="M84" s="37"/>
      <x:c r="N84" s="37"/>
      <x:c r="O84" s="37"/>
      <x:c r="P84" s="37"/>
      <x:c r="Q84" s="59" t="str">
        <x:f>IF(C84="","",C84&amp;"|"&amp;COUNTIF($C$6:C84,C84))</x:f>
      </x:c>
    </x:row>
    <x:row r="85">
      <x:c r="A85" s="37"/>
      <x:c r="B85" s="59" t="str">
        <x:f>IF(OR(C85="",E85=""),"","ASM-"&amp;TEXT(E85,"yymmdd")&amp;"-"&amp;TEXT(ROW()-5,"0000"))</x:f>
      </x:c>
      <x:c r="C85" s="37"/>
      <x:c r="D85" s="63" t="str">
        <x:f>IFERROR(INDEX('02_MEMBERS'!$C$6:$C$105,MATCH(C85,'02_MEMBERS'!$B$6:$B$105,0)),"")</x:f>
      </x:c>
      <x:c r="E85" s="42"/>
      <x:c r="F85" s="37"/>
      <x:c r="G85" s="37"/>
      <x:c r="H85" s="37"/>
      <x:c r="I85" s="37"/>
      <x:c r="J85" s="37"/>
      <x:c r="K85" s="78"/>
      <x:c r="L85" s="37"/>
      <x:c r="M85" s="37"/>
      <x:c r="N85" s="37"/>
      <x:c r="O85" s="37"/>
      <x:c r="P85" s="37"/>
      <x:c r="Q85" s="59" t="str">
        <x:f>IF(C85="","",C85&amp;"|"&amp;COUNTIF($C$6:C85,C85))</x:f>
      </x:c>
    </x:row>
    <x:row r="86">
      <x:c r="A86" s="37"/>
      <x:c r="B86" s="59" t="str">
        <x:f>IF(OR(C86="",E86=""),"","ASM-"&amp;TEXT(E86,"yymmdd")&amp;"-"&amp;TEXT(ROW()-5,"0000"))</x:f>
      </x:c>
      <x:c r="C86" s="37"/>
      <x:c r="D86" s="63" t="str">
        <x:f>IFERROR(INDEX('02_MEMBERS'!$C$6:$C$105,MATCH(C86,'02_MEMBERS'!$B$6:$B$105,0)),"")</x:f>
      </x:c>
      <x:c r="E86" s="42"/>
      <x:c r="F86" s="37"/>
      <x:c r="G86" s="37"/>
      <x:c r="H86" s="37"/>
      <x:c r="I86" s="37"/>
      <x:c r="J86" s="37"/>
      <x:c r="K86" s="78"/>
      <x:c r="L86" s="37"/>
      <x:c r="M86" s="37"/>
      <x:c r="N86" s="37"/>
      <x:c r="O86" s="37"/>
      <x:c r="P86" s="37"/>
      <x:c r="Q86" s="59" t="str">
        <x:f>IF(C86="","",C86&amp;"|"&amp;COUNTIF($C$6:C86,C86))</x:f>
      </x:c>
    </x:row>
    <x:row r="87">
      <x:c r="A87" s="37"/>
      <x:c r="B87" s="59" t="str">
        <x:f>IF(OR(C87="",E87=""),"","ASM-"&amp;TEXT(E87,"yymmdd")&amp;"-"&amp;TEXT(ROW()-5,"0000"))</x:f>
      </x:c>
      <x:c r="C87" s="37"/>
      <x:c r="D87" s="63" t="str">
        <x:f>IFERROR(INDEX('02_MEMBERS'!$C$6:$C$105,MATCH(C87,'02_MEMBERS'!$B$6:$B$105,0)),"")</x:f>
      </x:c>
      <x:c r="E87" s="42"/>
      <x:c r="F87" s="37"/>
      <x:c r="G87" s="37"/>
      <x:c r="H87" s="37"/>
      <x:c r="I87" s="37"/>
      <x:c r="J87" s="37"/>
      <x:c r="K87" s="78"/>
      <x:c r="L87" s="37"/>
      <x:c r="M87" s="37"/>
      <x:c r="N87" s="37"/>
      <x:c r="O87" s="37"/>
      <x:c r="P87" s="37"/>
      <x:c r="Q87" s="59" t="str">
        <x:f>IF(C87="","",C87&amp;"|"&amp;COUNTIF($C$6:C87,C87))</x:f>
      </x:c>
    </x:row>
    <x:row r="88">
      <x:c r="A88" s="37"/>
      <x:c r="B88" s="59" t="str">
        <x:f>IF(OR(C88="",E88=""),"","ASM-"&amp;TEXT(E88,"yymmdd")&amp;"-"&amp;TEXT(ROW()-5,"0000"))</x:f>
      </x:c>
      <x:c r="C88" s="37"/>
      <x:c r="D88" s="63" t="str">
        <x:f>IFERROR(INDEX('02_MEMBERS'!$C$6:$C$105,MATCH(C88,'02_MEMBERS'!$B$6:$B$105,0)),"")</x:f>
      </x:c>
      <x:c r="E88" s="42"/>
      <x:c r="F88" s="37"/>
      <x:c r="G88" s="37"/>
      <x:c r="H88" s="37"/>
      <x:c r="I88" s="37"/>
      <x:c r="J88" s="37"/>
      <x:c r="K88" s="78"/>
      <x:c r="L88" s="37"/>
      <x:c r="M88" s="37"/>
      <x:c r="N88" s="37"/>
      <x:c r="O88" s="37"/>
      <x:c r="P88" s="37"/>
      <x:c r="Q88" s="59" t="str">
        <x:f>IF(C88="","",C88&amp;"|"&amp;COUNTIF($C$6:C88,C88))</x:f>
      </x:c>
    </x:row>
    <x:row r="89">
      <x:c r="A89" s="37"/>
      <x:c r="B89" s="59" t="str">
        <x:f>IF(OR(C89="",E89=""),"","ASM-"&amp;TEXT(E89,"yymmdd")&amp;"-"&amp;TEXT(ROW()-5,"0000"))</x:f>
      </x:c>
      <x:c r="C89" s="37"/>
      <x:c r="D89" s="63" t="str">
        <x:f>IFERROR(INDEX('02_MEMBERS'!$C$6:$C$105,MATCH(C89,'02_MEMBERS'!$B$6:$B$105,0)),"")</x:f>
      </x:c>
      <x:c r="E89" s="42"/>
      <x:c r="F89" s="37"/>
      <x:c r="G89" s="37"/>
      <x:c r="H89" s="37"/>
      <x:c r="I89" s="37"/>
      <x:c r="J89" s="37"/>
      <x:c r="K89" s="78"/>
      <x:c r="L89" s="37"/>
      <x:c r="M89" s="37"/>
      <x:c r="N89" s="37"/>
      <x:c r="O89" s="37"/>
      <x:c r="P89" s="37"/>
      <x:c r="Q89" s="59" t="str">
        <x:f>IF(C89="","",C89&amp;"|"&amp;COUNTIF($C$6:C89,C89))</x:f>
      </x:c>
    </x:row>
    <x:row r="90">
      <x:c r="A90" s="37"/>
      <x:c r="B90" s="59" t="str">
        <x:f>IF(OR(C90="",E90=""),"","ASM-"&amp;TEXT(E90,"yymmdd")&amp;"-"&amp;TEXT(ROW()-5,"0000"))</x:f>
      </x:c>
      <x:c r="C90" s="37"/>
      <x:c r="D90" s="63" t="str">
        <x:f>IFERROR(INDEX('02_MEMBERS'!$C$6:$C$105,MATCH(C90,'02_MEMBERS'!$B$6:$B$105,0)),"")</x:f>
      </x:c>
      <x:c r="E90" s="42"/>
      <x:c r="F90" s="37"/>
      <x:c r="G90" s="37"/>
      <x:c r="H90" s="37"/>
      <x:c r="I90" s="37"/>
      <x:c r="J90" s="37"/>
      <x:c r="K90" s="78"/>
      <x:c r="L90" s="37"/>
      <x:c r="M90" s="37"/>
      <x:c r="N90" s="37"/>
      <x:c r="O90" s="37"/>
      <x:c r="P90" s="37"/>
      <x:c r="Q90" s="59" t="str">
        <x:f>IF(C90="","",C90&amp;"|"&amp;COUNTIF($C$6:C90,C90))</x:f>
      </x:c>
    </x:row>
    <x:row r="91">
      <x:c r="A91" s="37"/>
      <x:c r="B91" s="59" t="str">
        <x:f>IF(OR(C91="",E91=""),"","ASM-"&amp;TEXT(E91,"yymmdd")&amp;"-"&amp;TEXT(ROW()-5,"0000"))</x:f>
      </x:c>
      <x:c r="C91" s="37"/>
      <x:c r="D91" s="63" t="str">
        <x:f>IFERROR(INDEX('02_MEMBERS'!$C$6:$C$105,MATCH(C91,'02_MEMBERS'!$B$6:$B$105,0)),"")</x:f>
      </x:c>
      <x:c r="E91" s="42"/>
      <x:c r="F91" s="37"/>
      <x:c r="G91" s="37"/>
      <x:c r="H91" s="37"/>
      <x:c r="I91" s="37"/>
      <x:c r="J91" s="37"/>
      <x:c r="K91" s="78"/>
      <x:c r="L91" s="37"/>
      <x:c r="M91" s="37"/>
      <x:c r="N91" s="37"/>
      <x:c r="O91" s="37"/>
      <x:c r="P91" s="37"/>
      <x:c r="Q91" s="59" t="str">
        <x:f>IF(C91="","",C91&amp;"|"&amp;COUNTIF($C$6:C91,C91))</x:f>
      </x:c>
    </x:row>
    <x:row r="92">
      <x:c r="A92" s="37"/>
      <x:c r="B92" s="59" t="str">
        <x:f>IF(OR(C92="",E92=""),"","ASM-"&amp;TEXT(E92,"yymmdd")&amp;"-"&amp;TEXT(ROW()-5,"0000"))</x:f>
      </x:c>
      <x:c r="C92" s="37"/>
      <x:c r="D92" s="63" t="str">
        <x:f>IFERROR(INDEX('02_MEMBERS'!$C$6:$C$105,MATCH(C92,'02_MEMBERS'!$B$6:$B$105,0)),"")</x:f>
      </x:c>
      <x:c r="E92" s="42"/>
      <x:c r="F92" s="37"/>
      <x:c r="G92" s="37"/>
      <x:c r="H92" s="37"/>
      <x:c r="I92" s="37"/>
      <x:c r="J92" s="37"/>
      <x:c r="K92" s="78"/>
      <x:c r="L92" s="37"/>
      <x:c r="M92" s="37"/>
      <x:c r="N92" s="37"/>
      <x:c r="O92" s="37"/>
      <x:c r="P92" s="37"/>
      <x:c r="Q92" s="59" t="str">
        <x:f>IF(C92="","",C92&amp;"|"&amp;COUNTIF($C$6:C92,C92))</x:f>
      </x:c>
    </x:row>
    <x:row r="93">
      <x:c r="A93" s="37"/>
      <x:c r="B93" s="59" t="str">
        <x:f>IF(OR(C93="",E93=""),"","ASM-"&amp;TEXT(E93,"yymmdd")&amp;"-"&amp;TEXT(ROW()-5,"0000"))</x:f>
      </x:c>
      <x:c r="C93" s="37"/>
      <x:c r="D93" s="63" t="str">
        <x:f>IFERROR(INDEX('02_MEMBERS'!$C$6:$C$105,MATCH(C93,'02_MEMBERS'!$B$6:$B$105,0)),"")</x:f>
      </x:c>
      <x:c r="E93" s="42"/>
      <x:c r="F93" s="37"/>
      <x:c r="G93" s="37"/>
      <x:c r="H93" s="37"/>
      <x:c r="I93" s="37"/>
      <x:c r="J93" s="37"/>
      <x:c r="K93" s="78"/>
      <x:c r="L93" s="37"/>
      <x:c r="M93" s="37"/>
      <x:c r="N93" s="37"/>
      <x:c r="O93" s="37"/>
      <x:c r="P93" s="37"/>
      <x:c r="Q93" s="59" t="str">
        <x:f>IF(C93="","",C93&amp;"|"&amp;COUNTIF($C$6:C93,C93))</x:f>
      </x:c>
    </x:row>
    <x:row r="94">
      <x:c r="A94" s="37"/>
      <x:c r="B94" s="59" t="str">
        <x:f>IF(OR(C94="",E94=""),"","ASM-"&amp;TEXT(E94,"yymmdd")&amp;"-"&amp;TEXT(ROW()-5,"0000"))</x:f>
      </x:c>
      <x:c r="C94" s="37"/>
      <x:c r="D94" s="63" t="str">
        <x:f>IFERROR(INDEX('02_MEMBERS'!$C$6:$C$105,MATCH(C94,'02_MEMBERS'!$B$6:$B$105,0)),"")</x:f>
      </x:c>
      <x:c r="E94" s="42"/>
      <x:c r="F94" s="37"/>
      <x:c r="G94" s="37"/>
      <x:c r="H94" s="37"/>
      <x:c r="I94" s="37"/>
      <x:c r="J94" s="37"/>
      <x:c r="K94" s="78"/>
      <x:c r="L94" s="37"/>
      <x:c r="M94" s="37"/>
      <x:c r="N94" s="37"/>
      <x:c r="O94" s="37"/>
      <x:c r="P94" s="37"/>
      <x:c r="Q94" s="59" t="str">
        <x:f>IF(C94="","",C94&amp;"|"&amp;COUNTIF($C$6:C94,C94))</x:f>
      </x:c>
    </x:row>
    <x:row r="95">
      <x:c r="A95" s="37"/>
      <x:c r="B95" s="59" t="str">
        <x:f>IF(OR(C95="",E95=""),"","ASM-"&amp;TEXT(E95,"yymmdd")&amp;"-"&amp;TEXT(ROW()-5,"0000"))</x:f>
      </x:c>
      <x:c r="C95" s="37"/>
      <x:c r="D95" s="63" t="str">
        <x:f>IFERROR(INDEX('02_MEMBERS'!$C$6:$C$105,MATCH(C95,'02_MEMBERS'!$B$6:$B$105,0)),"")</x:f>
      </x:c>
      <x:c r="E95" s="42"/>
      <x:c r="F95" s="37"/>
      <x:c r="G95" s="37"/>
      <x:c r="H95" s="37"/>
      <x:c r="I95" s="37"/>
      <x:c r="J95" s="37"/>
      <x:c r="K95" s="78"/>
      <x:c r="L95" s="37"/>
      <x:c r="M95" s="37"/>
      <x:c r="N95" s="37"/>
      <x:c r="O95" s="37"/>
      <x:c r="P95" s="37"/>
      <x:c r="Q95" s="59" t="str">
        <x:f>IF(C95="","",C95&amp;"|"&amp;COUNTIF($C$6:C95,C95))</x:f>
      </x:c>
    </x:row>
    <x:row r="96">
      <x:c r="A96" s="37"/>
      <x:c r="B96" s="59" t="str">
        <x:f>IF(OR(C96="",E96=""),"","ASM-"&amp;TEXT(E96,"yymmdd")&amp;"-"&amp;TEXT(ROW()-5,"0000"))</x:f>
      </x:c>
      <x:c r="C96" s="37"/>
      <x:c r="D96" s="63" t="str">
        <x:f>IFERROR(INDEX('02_MEMBERS'!$C$6:$C$105,MATCH(C96,'02_MEMBERS'!$B$6:$B$105,0)),"")</x:f>
      </x:c>
      <x:c r="E96" s="42"/>
      <x:c r="F96" s="37"/>
      <x:c r="G96" s="37"/>
      <x:c r="H96" s="37"/>
      <x:c r="I96" s="37"/>
      <x:c r="J96" s="37"/>
      <x:c r="K96" s="78"/>
      <x:c r="L96" s="37"/>
      <x:c r="M96" s="37"/>
      <x:c r="N96" s="37"/>
      <x:c r="O96" s="37"/>
      <x:c r="P96" s="37"/>
      <x:c r="Q96" s="59" t="str">
        <x:f>IF(C96="","",C96&amp;"|"&amp;COUNTIF($C$6:C96,C96))</x:f>
      </x:c>
    </x:row>
    <x:row r="97">
      <x:c r="A97" s="37"/>
      <x:c r="B97" s="59" t="str">
        <x:f>IF(OR(C97="",E97=""),"","ASM-"&amp;TEXT(E97,"yymmdd")&amp;"-"&amp;TEXT(ROW()-5,"0000"))</x:f>
      </x:c>
      <x:c r="C97" s="37"/>
      <x:c r="D97" s="63" t="str">
        <x:f>IFERROR(INDEX('02_MEMBERS'!$C$6:$C$105,MATCH(C97,'02_MEMBERS'!$B$6:$B$105,0)),"")</x:f>
      </x:c>
      <x:c r="E97" s="42"/>
      <x:c r="F97" s="37"/>
      <x:c r="G97" s="37"/>
      <x:c r="H97" s="37"/>
      <x:c r="I97" s="37"/>
      <x:c r="J97" s="37"/>
      <x:c r="K97" s="78"/>
      <x:c r="L97" s="37"/>
      <x:c r="M97" s="37"/>
      <x:c r="N97" s="37"/>
      <x:c r="O97" s="37"/>
      <x:c r="P97" s="37"/>
      <x:c r="Q97" s="59" t="str">
        <x:f>IF(C97="","",C97&amp;"|"&amp;COUNTIF($C$6:C97,C97))</x:f>
      </x:c>
    </x:row>
    <x:row r="98">
      <x:c r="A98" s="37"/>
      <x:c r="B98" s="59" t="str">
        <x:f>IF(OR(C98="",E98=""),"","ASM-"&amp;TEXT(E98,"yymmdd")&amp;"-"&amp;TEXT(ROW()-5,"0000"))</x:f>
      </x:c>
      <x:c r="C98" s="37"/>
      <x:c r="D98" s="63" t="str">
        <x:f>IFERROR(INDEX('02_MEMBERS'!$C$6:$C$105,MATCH(C98,'02_MEMBERS'!$B$6:$B$105,0)),"")</x:f>
      </x:c>
      <x:c r="E98" s="42"/>
      <x:c r="F98" s="37"/>
      <x:c r="G98" s="37"/>
      <x:c r="H98" s="37"/>
      <x:c r="I98" s="37"/>
      <x:c r="J98" s="37"/>
      <x:c r="K98" s="78"/>
      <x:c r="L98" s="37"/>
      <x:c r="M98" s="37"/>
      <x:c r="N98" s="37"/>
      <x:c r="O98" s="37"/>
      <x:c r="P98" s="37"/>
      <x:c r="Q98" s="59" t="str">
        <x:f>IF(C98="","",C98&amp;"|"&amp;COUNTIF($C$6:C98,C98))</x:f>
      </x:c>
    </x:row>
    <x:row r="99">
      <x:c r="A99" s="37"/>
      <x:c r="B99" s="59" t="str">
        <x:f>IF(OR(C99="",E99=""),"","ASM-"&amp;TEXT(E99,"yymmdd")&amp;"-"&amp;TEXT(ROW()-5,"0000"))</x:f>
      </x:c>
      <x:c r="C99" s="37"/>
      <x:c r="D99" s="63" t="str">
        <x:f>IFERROR(INDEX('02_MEMBERS'!$C$6:$C$105,MATCH(C99,'02_MEMBERS'!$B$6:$B$105,0)),"")</x:f>
      </x:c>
      <x:c r="E99" s="42"/>
      <x:c r="F99" s="37"/>
      <x:c r="G99" s="37"/>
      <x:c r="H99" s="37"/>
      <x:c r="I99" s="37"/>
      <x:c r="J99" s="37"/>
      <x:c r="K99" s="78"/>
      <x:c r="L99" s="37"/>
      <x:c r="M99" s="37"/>
      <x:c r="N99" s="37"/>
      <x:c r="O99" s="37"/>
      <x:c r="P99" s="37"/>
      <x:c r="Q99" s="59" t="str">
        <x:f>IF(C99="","",C99&amp;"|"&amp;COUNTIF($C$6:C99,C99))</x:f>
      </x:c>
    </x:row>
    <x:row r="100">
      <x:c r="A100" s="37"/>
      <x:c r="B100" s="59" t="str">
        <x:f>IF(OR(C100="",E100=""),"","ASM-"&amp;TEXT(E100,"yymmdd")&amp;"-"&amp;TEXT(ROW()-5,"0000"))</x:f>
      </x:c>
      <x:c r="C100" s="37"/>
      <x:c r="D100" s="63" t="str">
        <x:f>IFERROR(INDEX('02_MEMBERS'!$C$6:$C$105,MATCH(C100,'02_MEMBERS'!$B$6:$B$105,0)),"")</x:f>
      </x:c>
      <x:c r="E100" s="42"/>
      <x:c r="F100" s="37"/>
      <x:c r="G100" s="37"/>
      <x:c r="H100" s="37"/>
      <x:c r="I100" s="37"/>
      <x:c r="J100" s="37"/>
      <x:c r="K100" s="78"/>
      <x:c r="L100" s="37"/>
      <x:c r="M100" s="37"/>
      <x:c r="N100" s="37"/>
      <x:c r="O100" s="37"/>
      <x:c r="P100" s="37"/>
      <x:c r="Q100" s="59" t="str">
        <x:f>IF(C100="","",C100&amp;"|"&amp;COUNTIF($C$6:C100,C100))</x:f>
      </x:c>
    </x:row>
    <x:row r="101">
      <x:c r="A101" s="37"/>
      <x:c r="B101" s="59" t="str">
        <x:f>IF(OR(C101="",E101=""),"","ASM-"&amp;TEXT(E101,"yymmdd")&amp;"-"&amp;TEXT(ROW()-5,"0000"))</x:f>
      </x:c>
      <x:c r="C101" s="37"/>
      <x:c r="D101" s="63" t="str">
        <x:f>IFERROR(INDEX('02_MEMBERS'!$C$6:$C$105,MATCH(C101,'02_MEMBERS'!$B$6:$B$105,0)),"")</x:f>
      </x:c>
      <x:c r="E101" s="42"/>
      <x:c r="F101" s="37"/>
      <x:c r="G101" s="37"/>
      <x:c r="H101" s="37"/>
      <x:c r="I101" s="37"/>
      <x:c r="J101" s="37"/>
      <x:c r="K101" s="78"/>
      <x:c r="L101" s="37"/>
      <x:c r="M101" s="37"/>
      <x:c r="N101" s="37"/>
      <x:c r="O101" s="37"/>
      <x:c r="P101" s="37"/>
      <x:c r="Q101" s="59" t="str">
        <x:f>IF(C101="","",C101&amp;"|"&amp;COUNTIF($C$6:C101,C101))</x:f>
      </x:c>
    </x:row>
    <x:row r="102">
      <x:c r="A102" s="37"/>
      <x:c r="B102" s="59" t="str">
        <x:f>IF(OR(C102="",E102=""),"","ASM-"&amp;TEXT(E102,"yymmdd")&amp;"-"&amp;TEXT(ROW()-5,"0000"))</x:f>
      </x:c>
      <x:c r="C102" s="37"/>
      <x:c r="D102" s="63" t="str">
        <x:f>IFERROR(INDEX('02_MEMBERS'!$C$6:$C$105,MATCH(C102,'02_MEMBERS'!$B$6:$B$105,0)),"")</x:f>
      </x:c>
      <x:c r="E102" s="42"/>
      <x:c r="F102" s="37"/>
      <x:c r="G102" s="37"/>
      <x:c r="H102" s="37"/>
      <x:c r="I102" s="37"/>
      <x:c r="J102" s="37"/>
      <x:c r="K102" s="78"/>
      <x:c r="L102" s="37"/>
      <x:c r="M102" s="37"/>
      <x:c r="N102" s="37"/>
      <x:c r="O102" s="37"/>
      <x:c r="P102" s="37"/>
      <x:c r="Q102" s="59" t="str">
        <x:f>IF(C102="","",C102&amp;"|"&amp;COUNTIF($C$6:C102,C102))</x:f>
      </x:c>
    </x:row>
    <x:row r="103">
      <x:c r="A103" s="37"/>
      <x:c r="B103" s="59" t="str">
        <x:f>IF(OR(C103="",E103=""),"","ASM-"&amp;TEXT(E103,"yymmdd")&amp;"-"&amp;TEXT(ROW()-5,"0000"))</x:f>
      </x:c>
      <x:c r="C103" s="37"/>
      <x:c r="D103" s="63" t="str">
        <x:f>IFERROR(INDEX('02_MEMBERS'!$C$6:$C$105,MATCH(C103,'02_MEMBERS'!$B$6:$B$105,0)),"")</x:f>
      </x:c>
      <x:c r="E103" s="42"/>
      <x:c r="F103" s="37"/>
      <x:c r="G103" s="37"/>
      <x:c r="H103" s="37"/>
      <x:c r="I103" s="37"/>
      <x:c r="J103" s="37"/>
      <x:c r="K103" s="78"/>
      <x:c r="L103" s="37"/>
      <x:c r="M103" s="37"/>
      <x:c r="N103" s="37"/>
      <x:c r="O103" s="37"/>
      <x:c r="P103" s="37"/>
      <x:c r="Q103" s="59" t="str">
        <x:f>IF(C103="","",C103&amp;"|"&amp;COUNTIF($C$6:C103,C103))</x:f>
      </x:c>
    </x:row>
    <x:row r="104">
      <x:c r="A104" s="37"/>
      <x:c r="B104" s="59" t="str">
        <x:f>IF(OR(C104="",E104=""),"","ASM-"&amp;TEXT(E104,"yymmdd")&amp;"-"&amp;TEXT(ROW()-5,"0000"))</x:f>
      </x:c>
      <x:c r="C104" s="37"/>
      <x:c r="D104" s="63" t="str">
        <x:f>IFERROR(INDEX('02_MEMBERS'!$C$6:$C$105,MATCH(C104,'02_MEMBERS'!$B$6:$B$105,0)),"")</x:f>
      </x:c>
      <x:c r="E104" s="42"/>
      <x:c r="F104" s="37"/>
      <x:c r="G104" s="37"/>
      <x:c r="H104" s="37"/>
      <x:c r="I104" s="37"/>
      <x:c r="J104" s="37"/>
      <x:c r="K104" s="78"/>
      <x:c r="L104" s="37"/>
      <x:c r="M104" s="37"/>
      <x:c r="N104" s="37"/>
      <x:c r="O104" s="37"/>
      <x:c r="P104" s="37"/>
      <x:c r="Q104" s="59" t="str">
        <x:f>IF(C104="","",C104&amp;"|"&amp;COUNTIF($C$6:C104,C104))</x:f>
      </x:c>
    </x:row>
    <x:row r="105">
      <x:c r="A105" s="37"/>
      <x:c r="B105" s="59" t="str">
        <x:f>IF(OR(C105="",E105=""),"","ASM-"&amp;TEXT(E105,"yymmdd")&amp;"-"&amp;TEXT(ROW()-5,"0000"))</x:f>
      </x:c>
      <x:c r="C105" s="37"/>
      <x:c r="D105" s="63" t="str">
        <x:f>IFERROR(INDEX('02_MEMBERS'!$C$6:$C$105,MATCH(C105,'02_MEMBERS'!$B$6:$B$105,0)),"")</x:f>
      </x:c>
      <x:c r="E105" s="42"/>
      <x:c r="F105" s="37"/>
      <x:c r="G105" s="37"/>
      <x:c r="H105" s="37"/>
      <x:c r="I105" s="37"/>
      <x:c r="J105" s="37"/>
      <x:c r="K105" s="78"/>
      <x:c r="L105" s="37"/>
      <x:c r="M105" s="37"/>
      <x:c r="N105" s="37"/>
      <x:c r="O105" s="37"/>
      <x:c r="P105" s="37"/>
      <x:c r="Q105" s="59" t="str">
        <x:f>IF(C105="","",C105&amp;"|"&amp;COUNTIF($C$6:C105,C105))</x:f>
      </x:c>
    </x:row>
  </x:sheetData>
  <x:mergeCells>
    <x:mergeCell ref="A1:Q1"/>
    <x:mergeCell ref="A2:Q2"/>
    <x:mergeCell ref="A4:Q4"/>
  </x:mergeCells>
  <x:dataValidations count="9">
    <x:dataValidation type="list" sqref="A6:A105">
      <x:formula1>99_SETTINGS!$D$19:$D$20</x:formula1>
    </x:dataValidation>
    <x:dataValidation type="list" sqref="C6:C105">
      <x:formula1>'02_MEMBERS'!$B$6:$B$105</x:formula1>
    </x:dataValidation>
    <x:dataValidation type="list" sqref="N6:N105">
      <x:formula1>'09_STAFF'!$C$6:$C$105</x:formula1>
    </x:dataValidation>
    <x:dataValidation type="decimal" operator="between" sqref="F6:F105">
      <x:formula1>1</x:formula1>
      <x:formula2>10</x:formula2>
    </x:dataValidation>
    <x:dataValidation type="decimal" operator="between" sqref="G6:G105">
      <x:formula1>1</x:formula1>
      <x:formula2>10</x:formula2>
    </x:dataValidation>
    <x:dataValidation type="decimal" operator="between" sqref="H6:H105">
      <x:formula1>1</x:formula1>
      <x:formula2>10</x:formula2>
    </x:dataValidation>
    <x:dataValidation type="decimal" operator="between" sqref="I6:I105">
      <x:formula1>1</x:formula1>
      <x:formula2>10</x:formula2>
    </x:dataValidation>
    <x:dataValidation type="decimal" operator="between" sqref="J6:J105">
      <x:formula1>1</x:formula1>
      <x:formula2>10</x:formula2>
    </x:dataValidation>
    <x:dataValidation type="decimal" operator="between" sqref="K6:K10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422293e53d44f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4" hidden="0" customWidth="1"/>
    <x:col min="5" max="5" width="18" hidden="0" customWidth="1"/>
    <x:col min="6" max="6" width="16" hidden="0" customWidth="1"/>
    <x:col min="7" max="7" width="24" hidden="0" customWidth="1"/>
    <x:col min="8" max="8" width="13" hidden="0" customWidth="1"/>
    <x:col min="9" max="9" width="18" hidden="0" customWidth="1"/>
    <x:col min="10" max="10" width="24" hidden="0" customWidth="1"/>
    <x:col min="11" max="11" width="16" hidden="0" customWidth="1"/>
    <x:col min="12" max="12" width="16" hidden="0" customWidth="1"/>
    <x:col min="13" max="13" width="14" hidden="0" customWidth="1"/>
    <x:col min="14" max="14" width="24" hidden="0" customWidth="1"/>
    <x:col min="15" max="15" width="30" hidden="0" customWidth="1"/>
  </x:cols>
  <x:sheetData>
    <x:row r="1" ht="34" customHeight="1">
      <x:c r="A1" s="4" t="str">
        <x:v>STAFF &amp; INSTRUCTOR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6" customHeight="1">
      <x:c r="A2" s="10" t="str">
        <x:v>Employment, certification and rate register. Payroll cash-outs are recorded in Expenses.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>
      <x:c r="A4" s="53" t="str">
        <x:v>Yellow = staff input | Grey/green = automatic calculation | Demo rows can be replaced with real data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</x:row>
    <x:row r="5" ht="34" customHeight="1">
      <x:c r="A5" s="18" t="str">
        <x:v>Record Type</x:v>
      </x:c>
      <x:c r="B5" s="18" t="str">
        <x:v>Staff ID</x:v>
      </x:c>
      <x:c r="C5" s="18" t="str">
        <x:v>Full Name</x:v>
      </x:c>
      <x:c r="D5" s="18" t="str">
        <x:v>Role</x:v>
      </x:c>
      <x:c r="E5" s="18" t="str">
        <x:v>Branch</x:v>
      </x:c>
      <x:c r="F5" s="18" t="str">
        <x:v>Phone</x:v>
      </x:c>
      <x:c r="G5" s="18" t="str">
        <x:v>Email</x:v>
      </x:c>
      <x:c r="H5" s="18" t="str">
        <x:v>Join Date</x:v>
      </x:c>
      <x:c r="I5" s="18" t="str">
        <x:v>Employment Status</x:v>
      </x:c>
      <x:c r="J5" s="18" t="str">
        <x:v>Certification</x:v>
      </x:c>
      <x:c r="K5" s="18" t="str">
        <x:v>Certification Expiry</x:v>
      </x:c>
      <x:c r="L5" s="18" t="str">
        <x:v>Pay Type</x:v>
      </x:c>
      <x:c r="M5" s="18" t="str">
        <x:v>Rate</x:v>
      </x:c>
      <x:c r="N5" s="18" t="str">
        <x:v>Emergency Contact</x:v>
      </x:c>
      <x:c r="O5" s="18" t="str">
        <x:v>Notes</x:v>
      </x:c>
    </x:row>
    <x:row r="6">
      <x:c r="A6" s="37" t="str">
        <x:v>DEMO</x:v>
      </x:c>
      <x:c r="B6" s="59" t="str">
        <x:f>IF(C6="","","STF-"&amp;TEXT(ROW()-5,"000"))</x:f>
        <x:v>STF-001</x:v>
      </x:c>
      <x:c r="C6" s="37" t="str">
        <x:v>Anita Sharma</x:v>
      </x:c>
      <x:c r="D6" s="37" t="str">
        <x:v>Studio Manager</x:v>
      </x:c>
      <x:c r="E6" s="37" t="str">
        <x:v>Main Studio</x:v>
      </x:c>
      <x:c r="F6" s="37" t="str">
        <x:v>9800000001</x:v>
      </x:c>
      <x:c r="G6" s="37" t="str">
        <x:v>anita@example.com</x:v>
      </x:c>
      <x:c r="H6" s="42" t="n">
        <x:v>45662</x:v>
      </x:c>
      <x:c r="I6" s="37" t="str">
        <x:v>Active</x:v>
      </x:c>
      <x:c r="J6" s="37" t="str">
        <x:v>Pilates Management</x:v>
      </x:c>
      <x:c r="K6" s="42" t="n">
        <x:v>46392</x:v>
      </x:c>
      <x:c r="L6" s="37" t="str">
        <x:v>Monthly</x:v>
      </x:c>
      <x:c r="M6" s="44" t="n">
        <x:v>65000</x:v>
      </x:c>
      <x:c r="N6" s="37" t="str">
        <x:v>9800000099</x:v>
      </x:c>
      <x:c r="O6" s="37" t="str"/>
    </x:row>
    <x:row r="7">
      <x:c r="A7" s="37" t="str">
        <x:v>DEMO</x:v>
      </x:c>
      <x:c r="B7" s="59" t="str">
        <x:f>IF(C7="","","STF-"&amp;TEXT(ROW()-5,"000"))</x:f>
        <x:v>STF-002</x:v>
      </x:c>
      <x:c r="C7" s="37" t="str">
        <x:v>Maya Gurung</x:v>
      </x:c>
      <x:c r="D7" s="37" t="str">
        <x:v>Pilates Instructor</x:v>
      </x:c>
      <x:c r="E7" s="37" t="str">
        <x:v>Main Studio</x:v>
      </x:c>
      <x:c r="F7" s="37" t="str">
        <x:v>9800000002</x:v>
      </x:c>
      <x:c r="G7" s="37" t="str">
        <x:v>maya@example.com</x:v>
      </x:c>
      <x:c r="H7" s="42" t="n">
        <x:v>45689</x:v>
      </x:c>
      <x:c r="I7" s="37" t="str">
        <x:v>Active</x:v>
      </x:c>
      <x:c r="J7" s="37" t="str">
        <x:v>Comprehensive Reformer</x:v>
      </x:c>
      <x:c r="K7" s="42" t="n">
        <x:v>46419</x:v>
      </x:c>
      <x:c r="L7" s="37" t="str">
        <x:v>Monthly</x:v>
      </x:c>
      <x:c r="M7" s="44" t="n">
        <x:v>55000</x:v>
      </x:c>
      <x:c r="N7" s="37" t="str">
        <x:v>9800000098</x:v>
      </x:c>
      <x:c r="O7" s="37" t="str"/>
    </x:row>
    <x:row r="8">
      <x:c r="A8" s="37" t="str">
        <x:v>DEMO</x:v>
      </x:c>
      <x:c r="B8" s="59" t="str">
        <x:f>IF(C8="","","STF-"&amp;TEXT(ROW()-5,"000"))</x:f>
        <x:v>STF-003</x:v>
      </x:c>
      <x:c r="C8" s="37" t="str">
        <x:v>Riya Thapa</x:v>
      </x:c>
      <x:c r="D8" s="37" t="str">
        <x:v>Pilates Instructor</x:v>
      </x:c>
      <x:c r="E8" s="37" t="str">
        <x:v>Main Studio</x:v>
      </x:c>
      <x:c r="F8" s="37" t="str">
        <x:v>9800000003</x:v>
      </x:c>
      <x:c r="G8" s="37" t="str">
        <x:v>riya@example.com</x:v>
      </x:c>
      <x:c r="H8" s="42" t="n">
        <x:v>45717</x:v>
      </x:c>
      <x:c r="I8" s="37" t="str">
        <x:v>Active</x:v>
      </x:c>
      <x:c r="J8" s="37" t="str">
        <x:v>Mat &amp; Reformer</x:v>
      </x:c>
      <x:c r="K8" s="42" t="n">
        <x:v>46296</x:v>
      </x:c>
      <x:c r="L8" s="37" t="str">
        <x:v>Monthly</x:v>
      </x:c>
      <x:c r="M8" s="44" t="n">
        <x:v>50000</x:v>
      </x:c>
      <x:c r="N8" s="37" t="str">
        <x:v>9800000097</x:v>
      </x:c>
      <x:c r="O8" s="37" t="str"/>
    </x:row>
    <x:row r="9">
      <x:c r="A9" s="37" t="str">
        <x:v>DEMO</x:v>
      </x:c>
      <x:c r="B9" s="59" t="str">
        <x:f>IF(C9="","","STF-"&amp;TEXT(ROW()-5,"000"))</x:f>
        <x:v>STF-004</x:v>
      </x:c>
      <x:c r="C9" s="37" t="str">
        <x:v>Nisha Rai</x:v>
      </x:c>
      <x:c r="D9" s="37" t="str">
        <x:v>Reception / Customer Success</x:v>
      </x:c>
      <x:c r="E9" s="37" t="str">
        <x:v>Main Studio</x:v>
      </x:c>
      <x:c r="F9" s="37" t="str">
        <x:v>9800000004</x:v>
      </x:c>
      <x:c r="G9" s="37" t="str">
        <x:v>nisha@example.com</x:v>
      </x:c>
      <x:c r="H9" s="42" t="n">
        <x:v>45748</x:v>
      </x:c>
      <x:c r="I9" s="37" t="str">
        <x:v>Active</x:v>
      </x:c>
      <x:c r="J9" s="37" t="str">
        <x:v>Customer Service</x:v>
      </x:c>
      <x:c r="K9" s="42" t="str"/>
      <x:c r="L9" s="37" t="str">
        <x:v>Monthly</x:v>
      </x:c>
      <x:c r="M9" s="44" t="n">
        <x:v>32000</x:v>
      </x:c>
      <x:c r="N9" s="37" t="str">
        <x:v>9800000096</x:v>
      </x:c>
      <x:c r="O9" s="37" t="str"/>
    </x:row>
    <x:row r="10">
      <x:c r="A10" s="37"/>
      <x:c r="B10" s="59" t="str">
        <x:f>IF(C10="","","STF-"&amp;TEXT(ROW()-5,"000"))</x:f>
      </x:c>
      <x:c r="C10" s="37"/>
      <x:c r="D10" s="37"/>
      <x:c r="E10" s="37"/>
      <x:c r="F10" s="37"/>
      <x:c r="G10" s="37"/>
      <x:c r="H10" s="42"/>
      <x:c r="I10" s="37"/>
      <x:c r="J10" s="37"/>
      <x:c r="K10" s="42"/>
      <x:c r="L10" s="37"/>
      <x:c r="M10" s="44"/>
      <x:c r="N10" s="37"/>
      <x:c r="O10" s="37"/>
    </x:row>
    <x:row r="11">
      <x:c r="A11" s="37"/>
      <x:c r="B11" s="59" t="str">
        <x:f>IF(C11="","","STF-"&amp;TEXT(ROW()-5,"000"))</x:f>
      </x:c>
      <x:c r="C11" s="37"/>
      <x:c r="D11" s="37"/>
      <x:c r="E11" s="37"/>
      <x:c r="F11" s="37"/>
      <x:c r="G11" s="37"/>
      <x:c r="H11" s="42"/>
      <x:c r="I11" s="37"/>
      <x:c r="J11" s="37"/>
      <x:c r="K11" s="42"/>
      <x:c r="L11" s="37"/>
      <x:c r="M11" s="44"/>
      <x:c r="N11" s="37"/>
      <x:c r="O11" s="37"/>
    </x:row>
    <x:row r="12">
      <x:c r="A12" s="37"/>
      <x:c r="B12" s="59" t="str">
        <x:f>IF(C12="","","STF-"&amp;TEXT(ROW()-5,"000"))</x:f>
      </x:c>
      <x:c r="C12" s="37"/>
      <x:c r="D12" s="37"/>
      <x:c r="E12" s="37"/>
      <x:c r="F12" s="37"/>
      <x:c r="G12" s="37"/>
      <x:c r="H12" s="42"/>
      <x:c r="I12" s="37"/>
      <x:c r="J12" s="37"/>
      <x:c r="K12" s="42"/>
      <x:c r="L12" s="37"/>
      <x:c r="M12" s="44"/>
      <x:c r="N12" s="37"/>
      <x:c r="O12" s="37"/>
    </x:row>
    <x:row r="13">
      <x:c r="A13" s="37"/>
      <x:c r="B13" s="59" t="str">
        <x:f>IF(C13="","","STF-"&amp;TEXT(ROW()-5,"000"))</x:f>
      </x:c>
      <x:c r="C13" s="37"/>
      <x:c r="D13" s="37"/>
      <x:c r="E13" s="37"/>
      <x:c r="F13" s="37"/>
      <x:c r="G13" s="37"/>
      <x:c r="H13" s="42"/>
      <x:c r="I13" s="37"/>
      <x:c r="J13" s="37"/>
      <x:c r="K13" s="42"/>
      <x:c r="L13" s="37"/>
      <x:c r="M13" s="44"/>
      <x:c r="N13" s="37"/>
      <x:c r="O13" s="37"/>
    </x:row>
    <x:row r="14">
      <x:c r="A14" s="37"/>
      <x:c r="B14" s="59" t="str">
        <x:f>IF(C14="","","STF-"&amp;TEXT(ROW()-5,"000"))</x:f>
      </x:c>
      <x:c r="C14" s="37"/>
      <x:c r="D14" s="37"/>
      <x:c r="E14" s="37"/>
      <x:c r="F14" s="37"/>
      <x:c r="G14" s="37"/>
      <x:c r="H14" s="42"/>
      <x:c r="I14" s="37"/>
      <x:c r="J14" s="37"/>
      <x:c r="K14" s="42"/>
      <x:c r="L14" s="37"/>
      <x:c r="M14" s="44"/>
      <x:c r="N14" s="37"/>
      <x:c r="O14" s="37"/>
    </x:row>
    <x:row r="15">
      <x:c r="A15" s="37"/>
      <x:c r="B15" s="59" t="str">
        <x:f>IF(C15="","","STF-"&amp;TEXT(ROW()-5,"000"))</x:f>
      </x:c>
      <x:c r="C15" s="37"/>
      <x:c r="D15" s="37"/>
      <x:c r="E15" s="37"/>
      <x:c r="F15" s="37"/>
      <x:c r="G15" s="37"/>
      <x:c r="H15" s="42"/>
      <x:c r="I15" s="37"/>
      <x:c r="J15" s="37"/>
      <x:c r="K15" s="42"/>
      <x:c r="L15" s="37"/>
      <x:c r="M15" s="44"/>
      <x:c r="N15" s="37"/>
      <x:c r="O15" s="37"/>
    </x:row>
    <x:row r="16">
      <x:c r="A16" s="37"/>
      <x:c r="B16" s="59" t="str">
        <x:f>IF(C16="","","STF-"&amp;TEXT(ROW()-5,"000"))</x:f>
      </x:c>
      <x:c r="C16" s="37"/>
      <x:c r="D16" s="37"/>
      <x:c r="E16" s="37"/>
      <x:c r="F16" s="37"/>
      <x:c r="G16" s="37"/>
      <x:c r="H16" s="42"/>
      <x:c r="I16" s="37"/>
      <x:c r="J16" s="37"/>
      <x:c r="K16" s="42"/>
      <x:c r="L16" s="37"/>
      <x:c r="M16" s="44"/>
      <x:c r="N16" s="37"/>
      <x:c r="O16" s="37"/>
    </x:row>
    <x:row r="17">
      <x:c r="A17" s="37"/>
      <x:c r="B17" s="59" t="str">
        <x:f>IF(C17="","","STF-"&amp;TEXT(ROW()-5,"000"))</x:f>
      </x:c>
      <x:c r="C17" s="37"/>
      <x:c r="D17" s="37"/>
      <x:c r="E17" s="37"/>
      <x:c r="F17" s="37"/>
      <x:c r="G17" s="37"/>
      <x:c r="H17" s="42"/>
      <x:c r="I17" s="37"/>
      <x:c r="J17" s="37"/>
      <x:c r="K17" s="42"/>
      <x:c r="L17" s="37"/>
      <x:c r="M17" s="44"/>
      <x:c r="N17" s="37"/>
      <x:c r="O17" s="37"/>
    </x:row>
    <x:row r="18">
      <x:c r="A18" s="37"/>
      <x:c r="B18" s="59" t="str">
        <x:f>IF(C18="","","STF-"&amp;TEXT(ROW()-5,"000"))</x:f>
      </x:c>
      <x:c r="C18" s="37"/>
      <x:c r="D18" s="37"/>
      <x:c r="E18" s="37"/>
      <x:c r="F18" s="37"/>
      <x:c r="G18" s="37"/>
      <x:c r="H18" s="42"/>
      <x:c r="I18" s="37"/>
      <x:c r="J18" s="37"/>
      <x:c r="K18" s="42"/>
      <x:c r="L18" s="37"/>
      <x:c r="M18" s="44"/>
      <x:c r="N18" s="37"/>
      <x:c r="O18" s="37"/>
    </x:row>
    <x:row r="19">
      <x:c r="A19" s="37"/>
      <x:c r="B19" s="59" t="str">
        <x:f>IF(C19="","","STF-"&amp;TEXT(ROW()-5,"000"))</x:f>
      </x:c>
      <x:c r="C19" s="37"/>
      <x:c r="D19" s="37"/>
      <x:c r="E19" s="37"/>
      <x:c r="F19" s="37"/>
      <x:c r="G19" s="37"/>
      <x:c r="H19" s="42"/>
      <x:c r="I19" s="37"/>
      <x:c r="J19" s="37"/>
      <x:c r="K19" s="42"/>
      <x:c r="L19" s="37"/>
      <x:c r="M19" s="44"/>
      <x:c r="N19" s="37"/>
      <x:c r="O19" s="37"/>
    </x:row>
    <x:row r="20">
      <x:c r="A20" s="37"/>
      <x:c r="B20" s="59" t="str">
        <x:f>IF(C20="","","STF-"&amp;TEXT(ROW()-5,"000"))</x:f>
      </x:c>
      <x:c r="C20" s="37"/>
      <x:c r="D20" s="37"/>
      <x:c r="E20" s="37"/>
      <x:c r="F20" s="37"/>
      <x:c r="G20" s="37"/>
      <x:c r="H20" s="42"/>
      <x:c r="I20" s="37"/>
      <x:c r="J20" s="37"/>
      <x:c r="K20" s="42"/>
      <x:c r="L20" s="37"/>
      <x:c r="M20" s="44"/>
      <x:c r="N20" s="37"/>
      <x:c r="O20" s="37"/>
    </x:row>
    <x:row r="21">
      <x:c r="A21" s="37"/>
      <x:c r="B21" s="59" t="str">
        <x:f>IF(C21="","","STF-"&amp;TEXT(ROW()-5,"000"))</x:f>
      </x:c>
      <x:c r="C21" s="37"/>
      <x:c r="D21" s="37"/>
      <x:c r="E21" s="37"/>
      <x:c r="F21" s="37"/>
      <x:c r="G21" s="37"/>
      <x:c r="H21" s="42"/>
      <x:c r="I21" s="37"/>
      <x:c r="J21" s="37"/>
      <x:c r="K21" s="42"/>
      <x:c r="L21" s="37"/>
      <x:c r="M21" s="44"/>
      <x:c r="N21" s="37"/>
      <x:c r="O21" s="37"/>
    </x:row>
    <x:row r="22">
      <x:c r="A22" s="37"/>
      <x:c r="B22" s="59" t="str">
        <x:f>IF(C22="","","STF-"&amp;TEXT(ROW()-5,"000"))</x:f>
      </x:c>
      <x:c r="C22" s="37"/>
      <x:c r="D22" s="37"/>
      <x:c r="E22" s="37"/>
      <x:c r="F22" s="37"/>
      <x:c r="G22" s="37"/>
      <x:c r="H22" s="42"/>
      <x:c r="I22" s="37"/>
      <x:c r="J22" s="37"/>
      <x:c r="K22" s="42"/>
      <x:c r="L22" s="37"/>
      <x:c r="M22" s="44"/>
      <x:c r="N22" s="37"/>
      <x:c r="O22" s="37"/>
    </x:row>
    <x:row r="23">
      <x:c r="A23" s="37"/>
      <x:c r="B23" s="59" t="str">
        <x:f>IF(C23="","","STF-"&amp;TEXT(ROW()-5,"000"))</x:f>
      </x:c>
      <x:c r="C23" s="37"/>
      <x:c r="D23" s="37"/>
      <x:c r="E23" s="37"/>
      <x:c r="F23" s="37"/>
      <x:c r="G23" s="37"/>
      <x:c r="H23" s="42"/>
      <x:c r="I23" s="37"/>
      <x:c r="J23" s="37"/>
      <x:c r="K23" s="42"/>
      <x:c r="L23" s="37"/>
      <x:c r="M23" s="44"/>
      <x:c r="N23" s="37"/>
      <x:c r="O23" s="37"/>
    </x:row>
    <x:row r="24">
      <x:c r="A24" s="37"/>
      <x:c r="B24" s="59" t="str">
        <x:f>IF(C24="","","STF-"&amp;TEXT(ROW()-5,"000"))</x:f>
      </x:c>
      <x:c r="C24" s="37"/>
      <x:c r="D24" s="37"/>
      <x:c r="E24" s="37"/>
      <x:c r="F24" s="37"/>
      <x:c r="G24" s="37"/>
      <x:c r="H24" s="42"/>
      <x:c r="I24" s="37"/>
      <x:c r="J24" s="37"/>
      <x:c r="K24" s="42"/>
      <x:c r="L24" s="37"/>
      <x:c r="M24" s="44"/>
      <x:c r="N24" s="37"/>
      <x:c r="O24" s="37"/>
    </x:row>
    <x:row r="25">
      <x:c r="A25" s="37"/>
      <x:c r="B25" s="59" t="str">
        <x:f>IF(C25="","","STF-"&amp;TEXT(ROW()-5,"000"))</x:f>
      </x:c>
      <x:c r="C25" s="37"/>
      <x:c r="D25" s="37"/>
      <x:c r="E25" s="37"/>
      <x:c r="F25" s="37"/>
      <x:c r="G25" s="37"/>
      <x:c r="H25" s="42"/>
      <x:c r="I25" s="37"/>
      <x:c r="J25" s="37"/>
      <x:c r="K25" s="42"/>
      <x:c r="L25" s="37"/>
      <x:c r="M25" s="44"/>
      <x:c r="N25" s="37"/>
      <x:c r="O25" s="37"/>
    </x:row>
    <x:row r="26">
      <x:c r="A26" s="37"/>
      <x:c r="B26" s="59" t="str">
        <x:f>IF(C26="","","STF-"&amp;TEXT(ROW()-5,"000"))</x:f>
      </x:c>
      <x:c r="C26" s="37"/>
      <x:c r="D26" s="37"/>
      <x:c r="E26" s="37"/>
      <x:c r="F26" s="37"/>
      <x:c r="G26" s="37"/>
      <x:c r="H26" s="42"/>
      <x:c r="I26" s="37"/>
      <x:c r="J26" s="37"/>
      <x:c r="K26" s="42"/>
      <x:c r="L26" s="37"/>
      <x:c r="M26" s="44"/>
      <x:c r="N26" s="37"/>
      <x:c r="O26" s="37"/>
    </x:row>
    <x:row r="27">
      <x:c r="A27" s="37"/>
      <x:c r="B27" s="59" t="str">
        <x:f>IF(C27="","","STF-"&amp;TEXT(ROW()-5,"000"))</x:f>
      </x:c>
      <x:c r="C27" s="37"/>
      <x:c r="D27" s="37"/>
      <x:c r="E27" s="37"/>
      <x:c r="F27" s="37"/>
      <x:c r="G27" s="37"/>
      <x:c r="H27" s="42"/>
      <x:c r="I27" s="37"/>
      <x:c r="J27" s="37"/>
      <x:c r="K27" s="42"/>
      <x:c r="L27" s="37"/>
      <x:c r="M27" s="44"/>
      <x:c r="N27" s="37"/>
      <x:c r="O27" s="37"/>
    </x:row>
    <x:row r="28">
      <x:c r="A28" s="37"/>
      <x:c r="B28" s="59" t="str">
        <x:f>IF(C28="","","STF-"&amp;TEXT(ROW()-5,"000"))</x:f>
      </x:c>
      <x:c r="C28" s="37"/>
      <x:c r="D28" s="37"/>
      <x:c r="E28" s="37"/>
      <x:c r="F28" s="37"/>
      <x:c r="G28" s="37"/>
      <x:c r="H28" s="42"/>
      <x:c r="I28" s="37"/>
      <x:c r="J28" s="37"/>
      <x:c r="K28" s="42"/>
      <x:c r="L28" s="37"/>
      <x:c r="M28" s="44"/>
      <x:c r="N28" s="37"/>
      <x:c r="O28" s="37"/>
    </x:row>
    <x:row r="29">
      <x:c r="A29" s="37"/>
      <x:c r="B29" s="59" t="str">
        <x:f>IF(C29="","","STF-"&amp;TEXT(ROW()-5,"000"))</x:f>
      </x:c>
      <x:c r="C29" s="37"/>
      <x:c r="D29" s="37"/>
      <x:c r="E29" s="37"/>
      <x:c r="F29" s="37"/>
      <x:c r="G29" s="37"/>
      <x:c r="H29" s="42"/>
      <x:c r="I29" s="37"/>
      <x:c r="J29" s="37"/>
      <x:c r="K29" s="42"/>
      <x:c r="L29" s="37"/>
      <x:c r="M29" s="44"/>
      <x:c r="N29" s="37"/>
      <x:c r="O29" s="37"/>
    </x:row>
    <x:row r="30">
      <x:c r="A30" s="37"/>
      <x:c r="B30" s="59" t="str">
        <x:f>IF(C30="","","STF-"&amp;TEXT(ROW()-5,"000"))</x:f>
      </x:c>
      <x:c r="C30" s="37"/>
      <x:c r="D30" s="37"/>
      <x:c r="E30" s="37"/>
      <x:c r="F30" s="37"/>
      <x:c r="G30" s="37"/>
      <x:c r="H30" s="42"/>
      <x:c r="I30" s="37"/>
      <x:c r="J30" s="37"/>
      <x:c r="K30" s="42"/>
      <x:c r="L30" s="37"/>
      <x:c r="M30" s="44"/>
      <x:c r="N30" s="37"/>
      <x:c r="O30" s="37"/>
    </x:row>
    <x:row r="31">
      <x:c r="A31" s="37"/>
      <x:c r="B31" s="59" t="str">
        <x:f>IF(C31="","","STF-"&amp;TEXT(ROW()-5,"000"))</x:f>
      </x:c>
      <x:c r="C31" s="37"/>
      <x:c r="D31" s="37"/>
      <x:c r="E31" s="37"/>
      <x:c r="F31" s="37"/>
      <x:c r="G31" s="37"/>
      <x:c r="H31" s="42"/>
      <x:c r="I31" s="37"/>
      <x:c r="J31" s="37"/>
      <x:c r="K31" s="42"/>
      <x:c r="L31" s="37"/>
      <x:c r="M31" s="44"/>
      <x:c r="N31" s="37"/>
      <x:c r="O31" s="37"/>
    </x:row>
    <x:row r="32">
      <x:c r="A32" s="37"/>
      <x:c r="B32" s="59" t="str">
        <x:f>IF(C32="","","STF-"&amp;TEXT(ROW()-5,"000"))</x:f>
      </x:c>
      <x:c r="C32" s="37"/>
      <x:c r="D32" s="37"/>
      <x:c r="E32" s="37"/>
      <x:c r="F32" s="37"/>
      <x:c r="G32" s="37"/>
      <x:c r="H32" s="42"/>
      <x:c r="I32" s="37"/>
      <x:c r="J32" s="37"/>
      <x:c r="K32" s="42"/>
      <x:c r="L32" s="37"/>
      <x:c r="M32" s="44"/>
      <x:c r="N32" s="37"/>
      <x:c r="O32" s="37"/>
    </x:row>
    <x:row r="33">
      <x:c r="A33" s="37"/>
      <x:c r="B33" s="59" t="str">
        <x:f>IF(C33="","","STF-"&amp;TEXT(ROW()-5,"000"))</x:f>
      </x:c>
      <x:c r="C33" s="37"/>
      <x:c r="D33" s="37"/>
      <x:c r="E33" s="37"/>
      <x:c r="F33" s="37"/>
      <x:c r="G33" s="37"/>
      <x:c r="H33" s="42"/>
      <x:c r="I33" s="37"/>
      <x:c r="J33" s="37"/>
      <x:c r="K33" s="42"/>
      <x:c r="L33" s="37"/>
      <x:c r="M33" s="44"/>
      <x:c r="N33" s="37"/>
      <x:c r="O33" s="37"/>
    </x:row>
    <x:row r="34">
      <x:c r="A34" s="37"/>
      <x:c r="B34" s="59" t="str">
        <x:f>IF(C34="","","STF-"&amp;TEXT(ROW()-5,"000"))</x:f>
      </x:c>
      <x:c r="C34" s="37"/>
      <x:c r="D34" s="37"/>
      <x:c r="E34" s="37"/>
      <x:c r="F34" s="37"/>
      <x:c r="G34" s="37"/>
      <x:c r="H34" s="42"/>
      <x:c r="I34" s="37"/>
      <x:c r="J34" s="37"/>
      <x:c r="K34" s="42"/>
      <x:c r="L34" s="37"/>
      <x:c r="M34" s="44"/>
      <x:c r="N34" s="37"/>
      <x:c r="O34" s="37"/>
    </x:row>
    <x:row r="35">
      <x:c r="A35" s="37"/>
      <x:c r="B35" s="59" t="str">
        <x:f>IF(C35="","","STF-"&amp;TEXT(ROW()-5,"000"))</x:f>
      </x:c>
      <x:c r="C35" s="37"/>
      <x:c r="D35" s="37"/>
      <x:c r="E35" s="37"/>
      <x:c r="F35" s="37"/>
      <x:c r="G35" s="37"/>
      <x:c r="H35" s="42"/>
      <x:c r="I35" s="37"/>
      <x:c r="J35" s="37"/>
      <x:c r="K35" s="42"/>
      <x:c r="L35" s="37"/>
      <x:c r="M35" s="44"/>
      <x:c r="N35" s="37"/>
      <x:c r="O35" s="37"/>
    </x:row>
    <x:row r="36">
      <x:c r="A36" s="37"/>
      <x:c r="B36" s="59" t="str">
        <x:f>IF(C36="","","STF-"&amp;TEXT(ROW()-5,"000"))</x:f>
      </x:c>
      <x:c r="C36" s="37"/>
      <x:c r="D36" s="37"/>
      <x:c r="E36" s="37"/>
      <x:c r="F36" s="37"/>
      <x:c r="G36" s="37"/>
      <x:c r="H36" s="42"/>
      <x:c r="I36" s="37"/>
      <x:c r="J36" s="37"/>
      <x:c r="K36" s="42"/>
      <x:c r="L36" s="37"/>
      <x:c r="M36" s="44"/>
      <x:c r="N36" s="37"/>
      <x:c r="O36" s="37"/>
    </x:row>
    <x:row r="37">
      <x:c r="A37" s="37"/>
      <x:c r="B37" s="59" t="str">
        <x:f>IF(C37="","","STF-"&amp;TEXT(ROW()-5,"000"))</x:f>
      </x:c>
      <x:c r="C37" s="37"/>
      <x:c r="D37" s="37"/>
      <x:c r="E37" s="37"/>
      <x:c r="F37" s="37"/>
      <x:c r="G37" s="37"/>
      <x:c r="H37" s="42"/>
      <x:c r="I37" s="37"/>
      <x:c r="J37" s="37"/>
      <x:c r="K37" s="42"/>
      <x:c r="L37" s="37"/>
      <x:c r="M37" s="44"/>
      <x:c r="N37" s="37"/>
      <x:c r="O37" s="37"/>
    </x:row>
    <x:row r="38">
      <x:c r="A38" s="37"/>
      <x:c r="B38" s="59" t="str">
        <x:f>IF(C38="","","STF-"&amp;TEXT(ROW()-5,"000"))</x:f>
      </x:c>
      <x:c r="C38" s="37"/>
      <x:c r="D38" s="37"/>
      <x:c r="E38" s="37"/>
      <x:c r="F38" s="37"/>
      <x:c r="G38" s="37"/>
      <x:c r="H38" s="42"/>
      <x:c r="I38" s="37"/>
      <x:c r="J38" s="37"/>
      <x:c r="K38" s="42"/>
      <x:c r="L38" s="37"/>
      <x:c r="M38" s="44"/>
      <x:c r="N38" s="37"/>
      <x:c r="O38" s="37"/>
    </x:row>
    <x:row r="39">
      <x:c r="A39" s="37"/>
      <x:c r="B39" s="59" t="str">
        <x:f>IF(C39="","","STF-"&amp;TEXT(ROW()-5,"000"))</x:f>
      </x:c>
      <x:c r="C39" s="37"/>
      <x:c r="D39" s="37"/>
      <x:c r="E39" s="37"/>
      <x:c r="F39" s="37"/>
      <x:c r="G39" s="37"/>
      <x:c r="H39" s="42"/>
      <x:c r="I39" s="37"/>
      <x:c r="J39" s="37"/>
      <x:c r="K39" s="42"/>
      <x:c r="L39" s="37"/>
      <x:c r="M39" s="44"/>
      <x:c r="N39" s="37"/>
      <x:c r="O39" s="37"/>
    </x:row>
    <x:row r="40">
      <x:c r="A40" s="37"/>
      <x:c r="B40" s="59" t="str">
        <x:f>IF(C40="","","STF-"&amp;TEXT(ROW()-5,"000"))</x:f>
      </x:c>
      <x:c r="C40" s="37"/>
      <x:c r="D40" s="37"/>
      <x:c r="E40" s="37"/>
      <x:c r="F40" s="37"/>
      <x:c r="G40" s="37"/>
      <x:c r="H40" s="42"/>
      <x:c r="I40" s="37"/>
      <x:c r="J40" s="37"/>
      <x:c r="K40" s="42"/>
      <x:c r="L40" s="37"/>
      <x:c r="M40" s="44"/>
      <x:c r="N40" s="37"/>
      <x:c r="O40" s="37"/>
    </x:row>
    <x:row r="41">
      <x:c r="A41" s="37"/>
      <x:c r="B41" s="59" t="str">
        <x:f>IF(C41="","","STF-"&amp;TEXT(ROW()-5,"000"))</x:f>
      </x:c>
      <x:c r="C41" s="37"/>
      <x:c r="D41" s="37"/>
      <x:c r="E41" s="37"/>
      <x:c r="F41" s="37"/>
      <x:c r="G41" s="37"/>
      <x:c r="H41" s="42"/>
      <x:c r="I41" s="37"/>
      <x:c r="J41" s="37"/>
      <x:c r="K41" s="42"/>
      <x:c r="L41" s="37"/>
      <x:c r="M41" s="44"/>
      <x:c r="N41" s="37"/>
      <x:c r="O41" s="37"/>
    </x:row>
    <x:row r="42">
      <x:c r="A42" s="37"/>
      <x:c r="B42" s="59" t="str">
        <x:f>IF(C42="","","STF-"&amp;TEXT(ROW()-5,"000"))</x:f>
      </x:c>
      <x:c r="C42" s="37"/>
      <x:c r="D42" s="37"/>
      <x:c r="E42" s="37"/>
      <x:c r="F42" s="37"/>
      <x:c r="G42" s="37"/>
      <x:c r="H42" s="42"/>
      <x:c r="I42" s="37"/>
      <x:c r="J42" s="37"/>
      <x:c r="K42" s="42"/>
      <x:c r="L42" s="37"/>
      <x:c r="M42" s="44"/>
      <x:c r="N42" s="37"/>
      <x:c r="O42" s="37"/>
    </x:row>
    <x:row r="43">
      <x:c r="A43" s="37"/>
      <x:c r="B43" s="59" t="str">
        <x:f>IF(C43="","","STF-"&amp;TEXT(ROW()-5,"000"))</x:f>
      </x:c>
      <x:c r="C43" s="37"/>
      <x:c r="D43" s="37"/>
      <x:c r="E43" s="37"/>
      <x:c r="F43" s="37"/>
      <x:c r="G43" s="37"/>
      <x:c r="H43" s="42"/>
      <x:c r="I43" s="37"/>
      <x:c r="J43" s="37"/>
      <x:c r="K43" s="42"/>
      <x:c r="L43" s="37"/>
      <x:c r="M43" s="44"/>
      <x:c r="N43" s="37"/>
      <x:c r="O43" s="37"/>
    </x:row>
    <x:row r="44">
      <x:c r="A44" s="37"/>
      <x:c r="B44" s="59" t="str">
        <x:f>IF(C44="","","STF-"&amp;TEXT(ROW()-5,"000"))</x:f>
      </x:c>
      <x:c r="C44" s="37"/>
      <x:c r="D44" s="37"/>
      <x:c r="E44" s="37"/>
      <x:c r="F44" s="37"/>
      <x:c r="G44" s="37"/>
      <x:c r="H44" s="42"/>
      <x:c r="I44" s="37"/>
      <x:c r="J44" s="37"/>
      <x:c r="K44" s="42"/>
      <x:c r="L44" s="37"/>
      <x:c r="M44" s="44"/>
      <x:c r="N44" s="37"/>
      <x:c r="O44" s="37"/>
    </x:row>
    <x:row r="45">
      <x:c r="A45" s="37"/>
      <x:c r="B45" s="59" t="str">
        <x:f>IF(C45="","","STF-"&amp;TEXT(ROW()-5,"000"))</x:f>
      </x:c>
      <x:c r="C45" s="37"/>
      <x:c r="D45" s="37"/>
      <x:c r="E45" s="37"/>
      <x:c r="F45" s="37"/>
      <x:c r="G45" s="37"/>
      <x:c r="H45" s="42"/>
      <x:c r="I45" s="37"/>
      <x:c r="J45" s="37"/>
      <x:c r="K45" s="42"/>
      <x:c r="L45" s="37"/>
      <x:c r="M45" s="44"/>
      <x:c r="N45" s="37"/>
      <x:c r="O45" s="37"/>
    </x:row>
    <x:row r="46">
      <x:c r="A46" s="37"/>
      <x:c r="B46" s="59" t="str">
        <x:f>IF(C46="","","STF-"&amp;TEXT(ROW()-5,"000"))</x:f>
      </x:c>
      <x:c r="C46" s="37"/>
      <x:c r="D46" s="37"/>
      <x:c r="E46" s="37"/>
      <x:c r="F46" s="37"/>
      <x:c r="G46" s="37"/>
      <x:c r="H46" s="42"/>
      <x:c r="I46" s="37"/>
      <x:c r="J46" s="37"/>
      <x:c r="K46" s="42"/>
      <x:c r="L46" s="37"/>
      <x:c r="M46" s="44"/>
      <x:c r="N46" s="37"/>
      <x:c r="O46" s="37"/>
    </x:row>
    <x:row r="47">
      <x:c r="A47" s="37"/>
      <x:c r="B47" s="59" t="str">
        <x:f>IF(C47="","","STF-"&amp;TEXT(ROW()-5,"000"))</x:f>
      </x:c>
      <x:c r="C47" s="37"/>
      <x:c r="D47" s="37"/>
      <x:c r="E47" s="37"/>
      <x:c r="F47" s="37"/>
      <x:c r="G47" s="37"/>
      <x:c r="H47" s="42"/>
      <x:c r="I47" s="37"/>
      <x:c r="J47" s="37"/>
      <x:c r="K47" s="42"/>
      <x:c r="L47" s="37"/>
      <x:c r="M47" s="44"/>
      <x:c r="N47" s="37"/>
      <x:c r="O47" s="37"/>
    </x:row>
    <x:row r="48">
      <x:c r="A48" s="37"/>
      <x:c r="B48" s="59" t="str">
        <x:f>IF(C48="","","STF-"&amp;TEXT(ROW()-5,"000"))</x:f>
      </x:c>
      <x:c r="C48" s="37"/>
      <x:c r="D48" s="37"/>
      <x:c r="E48" s="37"/>
      <x:c r="F48" s="37"/>
      <x:c r="G48" s="37"/>
      <x:c r="H48" s="42"/>
      <x:c r="I48" s="37"/>
      <x:c r="J48" s="37"/>
      <x:c r="K48" s="42"/>
      <x:c r="L48" s="37"/>
      <x:c r="M48" s="44"/>
      <x:c r="N48" s="37"/>
      <x:c r="O48" s="37"/>
    </x:row>
    <x:row r="49">
      <x:c r="A49" s="37"/>
      <x:c r="B49" s="59" t="str">
        <x:f>IF(C49="","","STF-"&amp;TEXT(ROW()-5,"000"))</x:f>
      </x:c>
      <x:c r="C49" s="37"/>
      <x:c r="D49" s="37"/>
      <x:c r="E49" s="37"/>
      <x:c r="F49" s="37"/>
      <x:c r="G49" s="37"/>
      <x:c r="H49" s="42"/>
      <x:c r="I49" s="37"/>
      <x:c r="J49" s="37"/>
      <x:c r="K49" s="42"/>
      <x:c r="L49" s="37"/>
      <x:c r="M49" s="44"/>
      <x:c r="N49" s="37"/>
      <x:c r="O49" s="37"/>
    </x:row>
    <x:row r="50">
      <x:c r="A50" s="37"/>
      <x:c r="B50" s="59" t="str">
        <x:f>IF(C50="","","STF-"&amp;TEXT(ROW()-5,"000"))</x:f>
      </x:c>
      <x:c r="C50" s="37"/>
      <x:c r="D50" s="37"/>
      <x:c r="E50" s="37"/>
      <x:c r="F50" s="37"/>
      <x:c r="G50" s="37"/>
      <x:c r="H50" s="42"/>
      <x:c r="I50" s="37"/>
      <x:c r="J50" s="37"/>
      <x:c r="K50" s="42"/>
      <x:c r="L50" s="37"/>
      <x:c r="M50" s="44"/>
      <x:c r="N50" s="37"/>
      <x:c r="O50" s="37"/>
    </x:row>
    <x:row r="51">
      <x:c r="A51" s="37"/>
      <x:c r="B51" s="59" t="str">
        <x:f>IF(C51="","","STF-"&amp;TEXT(ROW()-5,"000"))</x:f>
      </x:c>
      <x:c r="C51" s="37"/>
      <x:c r="D51" s="37"/>
      <x:c r="E51" s="37"/>
      <x:c r="F51" s="37"/>
      <x:c r="G51" s="37"/>
      <x:c r="H51" s="42"/>
      <x:c r="I51" s="37"/>
      <x:c r="J51" s="37"/>
      <x:c r="K51" s="42"/>
      <x:c r="L51" s="37"/>
      <x:c r="M51" s="44"/>
      <x:c r="N51" s="37"/>
      <x:c r="O51" s="37"/>
    </x:row>
    <x:row r="52">
      <x:c r="A52" s="37"/>
      <x:c r="B52" s="59" t="str">
        <x:f>IF(C52="","","STF-"&amp;TEXT(ROW()-5,"000"))</x:f>
      </x:c>
      <x:c r="C52" s="37"/>
      <x:c r="D52" s="37"/>
      <x:c r="E52" s="37"/>
      <x:c r="F52" s="37"/>
      <x:c r="G52" s="37"/>
      <x:c r="H52" s="42"/>
      <x:c r="I52" s="37"/>
      <x:c r="J52" s="37"/>
      <x:c r="K52" s="42"/>
      <x:c r="L52" s="37"/>
      <x:c r="M52" s="44"/>
      <x:c r="N52" s="37"/>
      <x:c r="O52" s="37"/>
    </x:row>
    <x:row r="53">
      <x:c r="A53" s="37"/>
      <x:c r="B53" s="59" t="str">
        <x:f>IF(C53="","","STF-"&amp;TEXT(ROW()-5,"000"))</x:f>
      </x:c>
      <x:c r="C53" s="37"/>
      <x:c r="D53" s="37"/>
      <x:c r="E53" s="37"/>
      <x:c r="F53" s="37"/>
      <x:c r="G53" s="37"/>
      <x:c r="H53" s="42"/>
      <x:c r="I53" s="37"/>
      <x:c r="J53" s="37"/>
      <x:c r="K53" s="42"/>
      <x:c r="L53" s="37"/>
      <x:c r="M53" s="44"/>
      <x:c r="N53" s="37"/>
      <x:c r="O53" s="37"/>
    </x:row>
    <x:row r="54">
      <x:c r="A54" s="37"/>
      <x:c r="B54" s="59" t="str">
        <x:f>IF(C54="","","STF-"&amp;TEXT(ROW()-5,"000"))</x:f>
      </x:c>
      <x:c r="C54" s="37"/>
      <x:c r="D54" s="37"/>
      <x:c r="E54" s="37"/>
      <x:c r="F54" s="37"/>
      <x:c r="G54" s="37"/>
      <x:c r="H54" s="42"/>
      <x:c r="I54" s="37"/>
      <x:c r="J54" s="37"/>
      <x:c r="K54" s="42"/>
      <x:c r="L54" s="37"/>
      <x:c r="M54" s="44"/>
      <x:c r="N54" s="37"/>
      <x:c r="O54" s="37"/>
    </x:row>
    <x:row r="55">
      <x:c r="A55" s="37"/>
      <x:c r="B55" s="59" t="str">
        <x:f>IF(C55="","","STF-"&amp;TEXT(ROW()-5,"000"))</x:f>
      </x:c>
      <x:c r="C55" s="37"/>
      <x:c r="D55" s="37"/>
      <x:c r="E55" s="37"/>
      <x:c r="F55" s="37"/>
      <x:c r="G55" s="37"/>
      <x:c r="H55" s="42"/>
      <x:c r="I55" s="37"/>
      <x:c r="J55" s="37"/>
      <x:c r="K55" s="42"/>
      <x:c r="L55" s="37"/>
      <x:c r="M55" s="44"/>
      <x:c r="N55" s="37"/>
      <x:c r="O55" s="37"/>
    </x:row>
    <x:row r="56">
      <x:c r="A56" s="37"/>
      <x:c r="B56" s="59" t="str">
        <x:f>IF(C56="","","STF-"&amp;TEXT(ROW()-5,"000"))</x:f>
      </x:c>
      <x:c r="C56" s="37"/>
      <x:c r="D56" s="37"/>
      <x:c r="E56" s="37"/>
      <x:c r="F56" s="37"/>
      <x:c r="G56" s="37"/>
      <x:c r="H56" s="42"/>
      <x:c r="I56" s="37"/>
      <x:c r="J56" s="37"/>
      <x:c r="K56" s="42"/>
      <x:c r="L56" s="37"/>
      <x:c r="M56" s="44"/>
      <x:c r="N56" s="37"/>
      <x:c r="O56" s="37"/>
    </x:row>
    <x:row r="57">
      <x:c r="A57" s="37"/>
      <x:c r="B57" s="59" t="str">
        <x:f>IF(C57="","","STF-"&amp;TEXT(ROW()-5,"000"))</x:f>
      </x:c>
      <x:c r="C57" s="37"/>
      <x:c r="D57" s="37"/>
      <x:c r="E57" s="37"/>
      <x:c r="F57" s="37"/>
      <x:c r="G57" s="37"/>
      <x:c r="H57" s="42"/>
      <x:c r="I57" s="37"/>
      <x:c r="J57" s="37"/>
      <x:c r="K57" s="42"/>
      <x:c r="L57" s="37"/>
      <x:c r="M57" s="44"/>
      <x:c r="N57" s="37"/>
      <x:c r="O57" s="37"/>
    </x:row>
    <x:row r="58">
      <x:c r="A58" s="37"/>
      <x:c r="B58" s="59" t="str">
        <x:f>IF(C58="","","STF-"&amp;TEXT(ROW()-5,"000"))</x:f>
      </x:c>
      <x:c r="C58" s="37"/>
      <x:c r="D58" s="37"/>
      <x:c r="E58" s="37"/>
      <x:c r="F58" s="37"/>
      <x:c r="G58" s="37"/>
      <x:c r="H58" s="42"/>
      <x:c r="I58" s="37"/>
      <x:c r="J58" s="37"/>
      <x:c r="K58" s="42"/>
      <x:c r="L58" s="37"/>
      <x:c r="M58" s="44"/>
      <x:c r="N58" s="37"/>
      <x:c r="O58" s="37"/>
    </x:row>
    <x:row r="59">
      <x:c r="A59" s="37"/>
      <x:c r="B59" s="59" t="str">
        <x:f>IF(C59="","","STF-"&amp;TEXT(ROW()-5,"000"))</x:f>
      </x:c>
      <x:c r="C59" s="37"/>
      <x:c r="D59" s="37"/>
      <x:c r="E59" s="37"/>
      <x:c r="F59" s="37"/>
      <x:c r="G59" s="37"/>
      <x:c r="H59" s="42"/>
      <x:c r="I59" s="37"/>
      <x:c r="J59" s="37"/>
      <x:c r="K59" s="42"/>
      <x:c r="L59" s="37"/>
      <x:c r="M59" s="44"/>
      <x:c r="N59" s="37"/>
      <x:c r="O59" s="37"/>
    </x:row>
    <x:row r="60">
      <x:c r="A60" s="37"/>
      <x:c r="B60" s="59" t="str">
        <x:f>IF(C60="","","STF-"&amp;TEXT(ROW()-5,"000"))</x:f>
      </x:c>
      <x:c r="C60" s="37"/>
      <x:c r="D60" s="37"/>
      <x:c r="E60" s="37"/>
      <x:c r="F60" s="37"/>
      <x:c r="G60" s="37"/>
      <x:c r="H60" s="42"/>
      <x:c r="I60" s="37"/>
      <x:c r="J60" s="37"/>
      <x:c r="K60" s="42"/>
      <x:c r="L60" s="37"/>
      <x:c r="M60" s="44"/>
      <x:c r="N60" s="37"/>
      <x:c r="O60" s="37"/>
    </x:row>
    <x:row r="61">
      <x:c r="A61" s="37"/>
      <x:c r="B61" s="59" t="str">
        <x:f>IF(C61="","","STF-"&amp;TEXT(ROW()-5,"000"))</x:f>
      </x:c>
      <x:c r="C61" s="37"/>
      <x:c r="D61" s="37"/>
      <x:c r="E61" s="37"/>
      <x:c r="F61" s="37"/>
      <x:c r="G61" s="37"/>
      <x:c r="H61" s="42"/>
      <x:c r="I61" s="37"/>
      <x:c r="J61" s="37"/>
      <x:c r="K61" s="42"/>
      <x:c r="L61" s="37"/>
      <x:c r="M61" s="44"/>
      <x:c r="N61" s="37"/>
      <x:c r="O61" s="37"/>
    </x:row>
    <x:row r="62">
      <x:c r="A62" s="37"/>
      <x:c r="B62" s="59" t="str">
        <x:f>IF(C62="","","STF-"&amp;TEXT(ROW()-5,"000"))</x:f>
      </x:c>
      <x:c r="C62" s="37"/>
      <x:c r="D62" s="37"/>
      <x:c r="E62" s="37"/>
      <x:c r="F62" s="37"/>
      <x:c r="G62" s="37"/>
      <x:c r="H62" s="42"/>
      <x:c r="I62" s="37"/>
      <x:c r="J62" s="37"/>
      <x:c r="K62" s="42"/>
      <x:c r="L62" s="37"/>
      <x:c r="M62" s="44"/>
      <x:c r="N62" s="37"/>
      <x:c r="O62" s="37"/>
    </x:row>
    <x:row r="63">
      <x:c r="A63" s="37"/>
      <x:c r="B63" s="59" t="str">
        <x:f>IF(C63="","","STF-"&amp;TEXT(ROW()-5,"000"))</x:f>
      </x:c>
      <x:c r="C63" s="37"/>
      <x:c r="D63" s="37"/>
      <x:c r="E63" s="37"/>
      <x:c r="F63" s="37"/>
      <x:c r="G63" s="37"/>
      <x:c r="H63" s="42"/>
      <x:c r="I63" s="37"/>
      <x:c r="J63" s="37"/>
      <x:c r="K63" s="42"/>
      <x:c r="L63" s="37"/>
      <x:c r="M63" s="44"/>
      <x:c r="N63" s="37"/>
      <x:c r="O63" s="37"/>
    </x:row>
    <x:row r="64">
      <x:c r="A64" s="37"/>
      <x:c r="B64" s="59" t="str">
        <x:f>IF(C64="","","STF-"&amp;TEXT(ROW()-5,"000"))</x:f>
      </x:c>
      <x:c r="C64" s="37"/>
      <x:c r="D64" s="37"/>
      <x:c r="E64" s="37"/>
      <x:c r="F64" s="37"/>
      <x:c r="G64" s="37"/>
      <x:c r="H64" s="42"/>
      <x:c r="I64" s="37"/>
      <x:c r="J64" s="37"/>
      <x:c r="K64" s="42"/>
      <x:c r="L64" s="37"/>
      <x:c r="M64" s="44"/>
      <x:c r="N64" s="37"/>
      <x:c r="O64" s="37"/>
    </x:row>
    <x:row r="65">
      <x:c r="A65" s="37"/>
      <x:c r="B65" s="59" t="str">
        <x:f>IF(C65="","","STF-"&amp;TEXT(ROW()-5,"000"))</x:f>
      </x:c>
      <x:c r="C65" s="37"/>
      <x:c r="D65" s="37"/>
      <x:c r="E65" s="37"/>
      <x:c r="F65" s="37"/>
      <x:c r="G65" s="37"/>
      <x:c r="H65" s="42"/>
      <x:c r="I65" s="37"/>
      <x:c r="J65" s="37"/>
      <x:c r="K65" s="42"/>
      <x:c r="L65" s="37"/>
      <x:c r="M65" s="44"/>
      <x:c r="N65" s="37"/>
      <x:c r="O65" s="37"/>
    </x:row>
    <x:row r="66">
      <x:c r="A66" s="37"/>
      <x:c r="B66" s="59" t="str">
        <x:f>IF(C66="","","STF-"&amp;TEXT(ROW()-5,"000"))</x:f>
      </x:c>
      <x:c r="C66" s="37"/>
      <x:c r="D66" s="37"/>
      <x:c r="E66" s="37"/>
      <x:c r="F66" s="37"/>
      <x:c r="G66" s="37"/>
      <x:c r="H66" s="42"/>
      <x:c r="I66" s="37"/>
      <x:c r="J66" s="37"/>
      <x:c r="K66" s="42"/>
      <x:c r="L66" s="37"/>
      <x:c r="M66" s="44"/>
      <x:c r="N66" s="37"/>
      <x:c r="O66" s="37"/>
    </x:row>
    <x:row r="67">
      <x:c r="A67" s="37"/>
      <x:c r="B67" s="59" t="str">
        <x:f>IF(C67="","","STF-"&amp;TEXT(ROW()-5,"000"))</x:f>
      </x:c>
      <x:c r="C67" s="37"/>
      <x:c r="D67" s="37"/>
      <x:c r="E67" s="37"/>
      <x:c r="F67" s="37"/>
      <x:c r="G67" s="37"/>
      <x:c r="H67" s="42"/>
      <x:c r="I67" s="37"/>
      <x:c r="J67" s="37"/>
      <x:c r="K67" s="42"/>
      <x:c r="L67" s="37"/>
      <x:c r="M67" s="44"/>
      <x:c r="N67" s="37"/>
      <x:c r="O67" s="37"/>
    </x:row>
    <x:row r="68">
      <x:c r="A68" s="37"/>
      <x:c r="B68" s="59" t="str">
        <x:f>IF(C68="","","STF-"&amp;TEXT(ROW()-5,"000"))</x:f>
      </x:c>
      <x:c r="C68" s="37"/>
      <x:c r="D68" s="37"/>
      <x:c r="E68" s="37"/>
      <x:c r="F68" s="37"/>
      <x:c r="G68" s="37"/>
      <x:c r="H68" s="42"/>
      <x:c r="I68" s="37"/>
      <x:c r="J68" s="37"/>
      <x:c r="K68" s="42"/>
      <x:c r="L68" s="37"/>
      <x:c r="M68" s="44"/>
      <x:c r="N68" s="37"/>
      <x:c r="O68" s="37"/>
    </x:row>
    <x:row r="69">
      <x:c r="A69" s="37"/>
      <x:c r="B69" s="59" t="str">
        <x:f>IF(C69="","","STF-"&amp;TEXT(ROW()-5,"000"))</x:f>
      </x:c>
      <x:c r="C69" s="37"/>
      <x:c r="D69" s="37"/>
      <x:c r="E69" s="37"/>
      <x:c r="F69" s="37"/>
      <x:c r="G69" s="37"/>
      <x:c r="H69" s="42"/>
      <x:c r="I69" s="37"/>
      <x:c r="J69" s="37"/>
      <x:c r="K69" s="42"/>
      <x:c r="L69" s="37"/>
      <x:c r="M69" s="44"/>
      <x:c r="N69" s="37"/>
      <x:c r="O69" s="37"/>
    </x:row>
    <x:row r="70">
      <x:c r="A70" s="37"/>
      <x:c r="B70" s="59" t="str">
        <x:f>IF(C70="","","STF-"&amp;TEXT(ROW()-5,"000"))</x:f>
      </x:c>
      <x:c r="C70" s="37"/>
      <x:c r="D70" s="37"/>
      <x:c r="E70" s="37"/>
      <x:c r="F70" s="37"/>
      <x:c r="G70" s="37"/>
      <x:c r="H70" s="42"/>
      <x:c r="I70" s="37"/>
      <x:c r="J70" s="37"/>
      <x:c r="K70" s="42"/>
      <x:c r="L70" s="37"/>
      <x:c r="M70" s="44"/>
      <x:c r="N70" s="37"/>
      <x:c r="O70" s="37"/>
    </x:row>
    <x:row r="71">
      <x:c r="A71" s="37"/>
      <x:c r="B71" s="59" t="str">
        <x:f>IF(C71="","","STF-"&amp;TEXT(ROW()-5,"000"))</x:f>
      </x:c>
      <x:c r="C71" s="37"/>
      <x:c r="D71" s="37"/>
      <x:c r="E71" s="37"/>
      <x:c r="F71" s="37"/>
      <x:c r="G71" s="37"/>
      <x:c r="H71" s="42"/>
      <x:c r="I71" s="37"/>
      <x:c r="J71" s="37"/>
      <x:c r="K71" s="42"/>
      <x:c r="L71" s="37"/>
      <x:c r="M71" s="44"/>
      <x:c r="N71" s="37"/>
      <x:c r="O71" s="37"/>
    </x:row>
    <x:row r="72">
      <x:c r="A72" s="37"/>
      <x:c r="B72" s="59" t="str">
        <x:f>IF(C72="","","STF-"&amp;TEXT(ROW()-5,"000"))</x:f>
      </x:c>
      <x:c r="C72" s="37"/>
      <x:c r="D72" s="37"/>
      <x:c r="E72" s="37"/>
      <x:c r="F72" s="37"/>
      <x:c r="G72" s="37"/>
      <x:c r="H72" s="42"/>
      <x:c r="I72" s="37"/>
      <x:c r="J72" s="37"/>
      <x:c r="K72" s="42"/>
      <x:c r="L72" s="37"/>
      <x:c r="M72" s="44"/>
      <x:c r="N72" s="37"/>
      <x:c r="O72" s="37"/>
    </x:row>
    <x:row r="73">
      <x:c r="A73" s="37"/>
      <x:c r="B73" s="59" t="str">
        <x:f>IF(C73="","","STF-"&amp;TEXT(ROW()-5,"000"))</x:f>
      </x:c>
      <x:c r="C73" s="37"/>
      <x:c r="D73" s="37"/>
      <x:c r="E73" s="37"/>
      <x:c r="F73" s="37"/>
      <x:c r="G73" s="37"/>
      <x:c r="H73" s="42"/>
      <x:c r="I73" s="37"/>
      <x:c r="J73" s="37"/>
      <x:c r="K73" s="42"/>
      <x:c r="L73" s="37"/>
      <x:c r="M73" s="44"/>
      <x:c r="N73" s="37"/>
      <x:c r="O73" s="37"/>
    </x:row>
    <x:row r="74">
      <x:c r="A74" s="37"/>
      <x:c r="B74" s="59" t="str">
        <x:f>IF(C74="","","STF-"&amp;TEXT(ROW()-5,"000"))</x:f>
      </x:c>
      <x:c r="C74" s="37"/>
      <x:c r="D74" s="37"/>
      <x:c r="E74" s="37"/>
      <x:c r="F74" s="37"/>
      <x:c r="G74" s="37"/>
      <x:c r="H74" s="42"/>
      <x:c r="I74" s="37"/>
      <x:c r="J74" s="37"/>
      <x:c r="K74" s="42"/>
      <x:c r="L74" s="37"/>
      <x:c r="M74" s="44"/>
      <x:c r="N74" s="37"/>
      <x:c r="O74" s="37"/>
    </x:row>
    <x:row r="75">
      <x:c r="A75" s="37"/>
      <x:c r="B75" s="59" t="str">
        <x:f>IF(C75="","","STF-"&amp;TEXT(ROW()-5,"000"))</x:f>
      </x:c>
      <x:c r="C75" s="37"/>
      <x:c r="D75" s="37"/>
      <x:c r="E75" s="37"/>
      <x:c r="F75" s="37"/>
      <x:c r="G75" s="37"/>
      <x:c r="H75" s="42"/>
      <x:c r="I75" s="37"/>
      <x:c r="J75" s="37"/>
      <x:c r="K75" s="42"/>
      <x:c r="L75" s="37"/>
      <x:c r="M75" s="44"/>
      <x:c r="N75" s="37"/>
      <x:c r="O75" s="37"/>
    </x:row>
    <x:row r="76">
      <x:c r="A76" s="37"/>
      <x:c r="B76" s="59" t="str">
        <x:f>IF(C76="","","STF-"&amp;TEXT(ROW()-5,"000"))</x:f>
      </x:c>
      <x:c r="C76" s="37"/>
      <x:c r="D76" s="37"/>
      <x:c r="E76" s="37"/>
      <x:c r="F76" s="37"/>
      <x:c r="G76" s="37"/>
      <x:c r="H76" s="42"/>
      <x:c r="I76" s="37"/>
      <x:c r="J76" s="37"/>
      <x:c r="K76" s="42"/>
      <x:c r="L76" s="37"/>
      <x:c r="M76" s="44"/>
      <x:c r="N76" s="37"/>
      <x:c r="O76" s="37"/>
    </x:row>
    <x:row r="77">
      <x:c r="A77" s="37"/>
      <x:c r="B77" s="59" t="str">
        <x:f>IF(C77="","","STF-"&amp;TEXT(ROW()-5,"000"))</x:f>
      </x:c>
      <x:c r="C77" s="37"/>
      <x:c r="D77" s="37"/>
      <x:c r="E77" s="37"/>
      <x:c r="F77" s="37"/>
      <x:c r="G77" s="37"/>
      <x:c r="H77" s="42"/>
      <x:c r="I77" s="37"/>
      <x:c r="J77" s="37"/>
      <x:c r="K77" s="42"/>
      <x:c r="L77" s="37"/>
      <x:c r="M77" s="44"/>
      <x:c r="N77" s="37"/>
      <x:c r="O77" s="37"/>
    </x:row>
    <x:row r="78">
      <x:c r="A78" s="37"/>
      <x:c r="B78" s="59" t="str">
        <x:f>IF(C78="","","STF-"&amp;TEXT(ROW()-5,"000"))</x:f>
      </x:c>
      <x:c r="C78" s="37"/>
      <x:c r="D78" s="37"/>
      <x:c r="E78" s="37"/>
      <x:c r="F78" s="37"/>
      <x:c r="G78" s="37"/>
      <x:c r="H78" s="42"/>
      <x:c r="I78" s="37"/>
      <x:c r="J78" s="37"/>
      <x:c r="K78" s="42"/>
      <x:c r="L78" s="37"/>
      <x:c r="M78" s="44"/>
      <x:c r="N78" s="37"/>
      <x:c r="O78" s="37"/>
    </x:row>
    <x:row r="79">
      <x:c r="A79" s="37"/>
      <x:c r="B79" s="59" t="str">
        <x:f>IF(C79="","","STF-"&amp;TEXT(ROW()-5,"000"))</x:f>
      </x:c>
      <x:c r="C79" s="37"/>
      <x:c r="D79" s="37"/>
      <x:c r="E79" s="37"/>
      <x:c r="F79" s="37"/>
      <x:c r="G79" s="37"/>
      <x:c r="H79" s="42"/>
      <x:c r="I79" s="37"/>
      <x:c r="J79" s="37"/>
      <x:c r="K79" s="42"/>
      <x:c r="L79" s="37"/>
      <x:c r="M79" s="44"/>
      <x:c r="N79" s="37"/>
      <x:c r="O79" s="37"/>
    </x:row>
    <x:row r="80">
      <x:c r="A80" s="37"/>
      <x:c r="B80" s="59" t="str">
        <x:f>IF(C80="","","STF-"&amp;TEXT(ROW()-5,"000"))</x:f>
      </x:c>
      <x:c r="C80" s="37"/>
      <x:c r="D80" s="37"/>
      <x:c r="E80" s="37"/>
      <x:c r="F80" s="37"/>
      <x:c r="G80" s="37"/>
      <x:c r="H80" s="42"/>
      <x:c r="I80" s="37"/>
      <x:c r="J80" s="37"/>
      <x:c r="K80" s="42"/>
      <x:c r="L80" s="37"/>
      <x:c r="M80" s="44"/>
      <x:c r="N80" s="37"/>
      <x:c r="O80" s="37"/>
    </x:row>
    <x:row r="81">
      <x:c r="A81" s="37"/>
      <x:c r="B81" s="59" t="str">
        <x:f>IF(C81="","","STF-"&amp;TEXT(ROW()-5,"000"))</x:f>
      </x:c>
      <x:c r="C81" s="37"/>
      <x:c r="D81" s="37"/>
      <x:c r="E81" s="37"/>
      <x:c r="F81" s="37"/>
      <x:c r="G81" s="37"/>
      <x:c r="H81" s="42"/>
      <x:c r="I81" s="37"/>
      <x:c r="J81" s="37"/>
      <x:c r="K81" s="42"/>
      <x:c r="L81" s="37"/>
      <x:c r="M81" s="44"/>
      <x:c r="N81" s="37"/>
      <x:c r="O81" s="37"/>
    </x:row>
    <x:row r="82">
      <x:c r="A82" s="37"/>
      <x:c r="B82" s="59" t="str">
        <x:f>IF(C82="","","STF-"&amp;TEXT(ROW()-5,"000"))</x:f>
      </x:c>
      <x:c r="C82" s="37"/>
      <x:c r="D82" s="37"/>
      <x:c r="E82" s="37"/>
      <x:c r="F82" s="37"/>
      <x:c r="G82" s="37"/>
      <x:c r="H82" s="42"/>
      <x:c r="I82" s="37"/>
      <x:c r="J82" s="37"/>
      <x:c r="K82" s="42"/>
      <x:c r="L82" s="37"/>
      <x:c r="M82" s="44"/>
      <x:c r="N82" s="37"/>
      <x:c r="O82" s="37"/>
    </x:row>
    <x:row r="83">
      <x:c r="A83" s="37"/>
      <x:c r="B83" s="59" t="str">
        <x:f>IF(C83="","","STF-"&amp;TEXT(ROW()-5,"000"))</x:f>
      </x:c>
      <x:c r="C83" s="37"/>
      <x:c r="D83" s="37"/>
      <x:c r="E83" s="37"/>
      <x:c r="F83" s="37"/>
      <x:c r="G83" s="37"/>
      <x:c r="H83" s="42"/>
      <x:c r="I83" s="37"/>
      <x:c r="J83" s="37"/>
      <x:c r="K83" s="42"/>
      <x:c r="L83" s="37"/>
      <x:c r="M83" s="44"/>
      <x:c r="N83" s="37"/>
      <x:c r="O83" s="37"/>
    </x:row>
    <x:row r="84">
      <x:c r="A84" s="37"/>
      <x:c r="B84" s="59" t="str">
        <x:f>IF(C84="","","STF-"&amp;TEXT(ROW()-5,"000"))</x:f>
      </x:c>
      <x:c r="C84" s="37"/>
      <x:c r="D84" s="37"/>
      <x:c r="E84" s="37"/>
      <x:c r="F84" s="37"/>
      <x:c r="G84" s="37"/>
      <x:c r="H84" s="42"/>
      <x:c r="I84" s="37"/>
      <x:c r="J84" s="37"/>
      <x:c r="K84" s="42"/>
      <x:c r="L84" s="37"/>
      <x:c r="M84" s="44"/>
      <x:c r="N84" s="37"/>
      <x:c r="O84" s="37"/>
    </x:row>
    <x:row r="85">
      <x:c r="A85" s="37"/>
      <x:c r="B85" s="59" t="str">
        <x:f>IF(C85="","","STF-"&amp;TEXT(ROW()-5,"000"))</x:f>
      </x:c>
      <x:c r="C85" s="37"/>
      <x:c r="D85" s="37"/>
      <x:c r="E85" s="37"/>
      <x:c r="F85" s="37"/>
      <x:c r="G85" s="37"/>
      <x:c r="H85" s="42"/>
      <x:c r="I85" s="37"/>
      <x:c r="J85" s="37"/>
      <x:c r="K85" s="42"/>
      <x:c r="L85" s="37"/>
      <x:c r="M85" s="44"/>
      <x:c r="N85" s="37"/>
      <x:c r="O85" s="37"/>
    </x:row>
    <x:row r="86">
      <x:c r="A86" s="37"/>
      <x:c r="B86" s="59" t="str">
        <x:f>IF(C86="","","STF-"&amp;TEXT(ROW()-5,"000"))</x:f>
      </x:c>
      <x:c r="C86" s="37"/>
      <x:c r="D86" s="37"/>
      <x:c r="E86" s="37"/>
      <x:c r="F86" s="37"/>
      <x:c r="G86" s="37"/>
      <x:c r="H86" s="42"/>
      <x:c r="I86" s="37"/>
      <x:c r="J86" s="37"/>
      <x:c r="K86" s="42"/>
      <x:c r="L86" s="37"/>
      <x:c r="M86" s="44"/>
      <x:c r="N86" s="37"/>
      <x:c r="O86" s="37"/>
    </x:row>
    <x:row r="87">
      <x:c r="A87" s="37"/>
      <x:c r="B87" s="59" t="str">
        <x:f>IF(C87="","","STF-"&amp;TEXT(ROW()-5,"000"))</x:f>
      </x:c>
      <x:c r="C87" s="37"/>
      <x:c r="D87" s="37"/>
      <x:c r="E87" s="37"/>
      <x:c r="F87" s="37"/>
      <x:c r="G87" s="37"/>
      <x:c r="H87" s="42"/>
      <x:c r="I87" s="37"/>
      <x:c r="J87" s="37"/>
      <x:c r="K87" s="42"/>
      <x:c r="L87" s="37"/>
      <x:c r="M87" s="44"/>
      <x:c r="N87" s="37"/>
      <x:c r="O87" s="37"/>
    </x:row>
    <x:row r="88">
      <x:c r="A88" s="37"/>
      <x:c r="B88" s="59" t="str">
        <x:f>IF(C88="","","STF-"&amp;TEXT(ROW()-5,"000"))</x:f>
      </x:c>
      <x:c r="C88" s="37"/>
      <x:c r="D88" s="37"/>
      <x:c r="E88" s="37"/>
      <x:c r="F88" s="37"/>
      <x:c r="G88" s="37"/>
      <x:c r="H88" s="42"/>
      <x:c r="I88" s="37"/>
      <x:c r="J88" s="37"/>
      <x:c r="K88" s="42"/>
      <x:c r="L88" s="37"/>
      <x:c r="M88" s="44"/>
      <x:c r="N88" s="37"/>
      <x:c r="O88" s="37"/>
    </x:row>
    <x:row r="89">
      <x:c r="A89" s="37"/>
      <x:c r="B89" s="59" t="str">
        <x:f>IF(C89="","","STF-"&amp;TEXT(ROW()-5,"000"))</x:f>
      </x:c>
      <x:c r="C89" s="37"/>
      <x:c r="D89" s="37"/>
      <x:c r="E89" s="37"/>
      <x:c r="F89" s="37"/>
      <x:c r="G89" s="37"/>
      <x:c r="H89" s="42"/>
      <x:c r="I89" s="37"/>
      <x:c r="J89" s="37"/>
      <x:c r="K89" s="42"/>
      <x:c r="L89" s="37"/>
      <x:c r="M89" s="44"/>
      <x:c r="N89" s="37"/>
      <x:c r="O89" s="37"/>
    </x:row>
    <x:row r="90">
      <x:c r="A90" s="37"/>
      <x:c r="B90" s="59" t="str">
        <x:f>IF(C90="","","STF-"&amp;TEXT(ROW()-5,"000"))</x:f>
      </x:c>
      <x:c r="C90" s="37"/>
      <x:c r="D90" s="37"/>
      <x:c r="E90" s="37"/>
      <x:c r="F90" s="37"/>
      <x:c r="G90" s="37"/>
      <x:c r="H90" s="42"/>
      <x:c r="I90" s="37"/>
      <x:c r="J90" s="37"/>
      <x:c r="K90" s="42"/>
      <x:c r="L90" s="37"/>
      <x:c r="M90" s="44"/>
      <x:c r="N90" s="37"/>
      <x:c r="O90" s="37"/>
    </x:row>
    <x:row r="91">
      <x:c r="A91" s="37"/>
      <x:c r="B91" s="59" t="str">
        <x:f>IF(C91="","","STF-"&amp;TEXT(ROW()-5,"000"))</x:f>
      </x:c>
      <x:c r="C91" s="37"/>
      <x:c r="D91" s="37"/>
      <x:c r="E91" s="37"/>
      <x:c r="F91" s="37"/>
      <x:c r="G91" s="37"/>
      <x:c r="H91" s="42"/>
      <x:c r="I91" s="37"/>
      <x:c r="J91" s="37"/>
      <x:c r="K91" s="42"/>
      <x:c r="L91" s="37"/>
      <x:c r="M91" s="44"/>
      <x:c r="N91" s="37"/>
      <x:c r="O91" s="37"/>
    </x:row>
    <x:row r="92">
      <x:c r="A92" s="37"/>
      <x:c r="B92" s="59" t="str">
        <x:f>IF(C92="","","STF-"&amp;TEXT(ROW()-5,"000"))</x:f>
      </x:c>
      <x:c r="C92" s="37"/>
      <x:c r="D92" s="37"/>
      <x:c r="E92" s="37"/>
      <x:c r="F92" s="37"/>
      <x:c r="G92" s="37"/>
      <x:c r="H92" s="42"/>
      <x:c r="I92" s="37"/>
      <x:c r="J92" s="37"/>
      <x:c r="K92" s="42"/>
      <x:c r="L92" s="37"/>
      <x:c r="M92" s="44"/>
      <x:c r="N92" s="37"/>
      <x:c r="O92" s="37"/>
    </x:row>
    <x:row r="93">
      <x:c r="A93" s="37"/>
      <x:c r="B93" s="59" t="str">
        <x:f>IF(C93="","","STF-"&amp;TEXT(ROW()-5,"000"))</x:f>
      </x:c>
      <x:c r="C93" s="37"/>
      <x:c r="D93" s="37"/>
      <x:c r="E93" s="37"/>
      <x:c r="F93" s="37"/>
      <x:c r="G93" s="37"/>
      <x:c r="H93" s="42"/>
      <x:c r="I93" s="37"/>
      <x:c r="J93" s="37"/>
      <x:c r="K93" s="42"/>
      <x:c r="L93" s="37"/>
      <x:c r="M93" s="44"/>
      <x:c r="N93" s="37"/>
      <x:c r="O93" s="37"/>
    </x:row>
    <x:row r="94">
      <x:c r="A94" s="37"/>
      <x:c r="B94" s="59" t="str">
        <x:f>IF(C94="","","STF-"&amp;TEXT(ROW()-5,"000"))</x:f>
      </x:c>
      <x:c r="C94" s="37"/>
      <x:c r="D94" s="37"/>
      <x:c r="E94" s="37"/>
      <x:c r="F94" s="37"/>
      <x:c r="G94" s="37"/>
      <x:c r="H94" s="42"/>
      <x:c r="I94" s="37"/>
      <x:c r="J94" s="37"/>
      <x:c r="K94" s="42"/>
      <x:c r="L94" s="37"/>
      <x:c r="M94" s="44"/>
      <x:c r="N94" s="37"/>
      <x:c r="O94" s="37"/>
    </x:row>
    <x:row r="95">
      <x:c r="A95" s="37"/>
      <x:c r="B95" s="59" t="str">
        <x:f>IF(C95="","","STF-"&amp;TEXT(ROW()-5,"000"))</x:f>
      </x:c>
      <x:c r="C95" s="37"/>
      <x:c r="D95" s="37"/>
      <x:c r="E95" s="37"/>
      <x:c r="F95" s="37"/>
      <x:c r="G95" s="37"/>
      <x:c r="H95" s="42"/>
      <x:c r="I95" s="37"/>
      <x:c r="J95" s="37"/>
      <x:c r="K95" s="42"/>
      <x:c r="L95" s="37"/>
      <x:c r="M95" s="44"/>
      <x:c r="N95" s="37"/>
      <x:c r="O95" s="37"/>
    </x:row>
    <x:row r="96">
      <x:c r="A96" s="37"/>
      <x:c r="B96" s="59" t="str">
        <x:f>IF(C96="","","STF-"&amp;TEXT(ROW()-5,"000"))</x:f>
      </x:c>
      <x:c r="C96" s="37"/>
      <x:c r="D96" s="37"/>
      <x:c r="E96" s="37"/>
      <x:c r="F96" s="37"/>
      <x:c r="G96" s="37"/>
      <x:c r="H96" s="42"/>
      <x:c r="I96" s="37"/>
      <x:c r="J96" s="37"/>
      <x:c r="K96" s="42"/>
      <x:c r="L96" s="37"/>
      <x:c r="M96" s="44"/>
      <x:c r="N96" s="37"/>
      <x:c r="O96" s="37"/>
    </x:row>
    <x:row r="97">
      <x:c r="A97" s="37"/>
      <x:c r="B97" s="59" t="str">
        <x:f>IF(C97="","","STF-"&amp;TEXT(ROW()-5,"000"))</x:f>
      </x:c>
      <x:c r="C97" s="37"/>
      <x:c r="D97" s="37"/>
      <x:c r="E97" s="37"/>
      <x:c r="F97" s="37"/>
      <x:c r="G97" s="37"/>
      <x:c r="H97" s="42"/>
      <x:c r="I97" s="37"/>
      <x:c r="J97" s="37"/>
      <x:c r="K97" s="42"/>
      <x:c r="L97" s="37"/>
      <x:c r="M97" s="44"/>
      <x:c r="N97" s="37"/>
      <x:c r="O97" s="37"/>
    </x:row>
    <x:row r="98">
      <x:c r="A98" s="37"/>
      <x:c r="B98" s="59" t="str">
        <x:f>IF(C98="","","STF-"&amp;TEXT(ROW()-5,"000"))</x:f>
      </x:c>
      <x:c r="C98" s="37"/>
      <x:c r="D98" s="37"/>
      <x:c r="E98" s="37"/>
      <x:c r="F98" s="37"/>
      <x:c r="G98" s="37"/>
      <x:c r="H98" s="42"/>
      <x:c r="I98" s="37"/>
      <x:c r="J98" s="37"/>
      <x:c r="K98" s="42"/>
      <x:c r="L98" s="37"/>
      <x:c r="M98" s="44"/>
      <x:c r="N98" s="37"/>
      <x:c r="O98" s="37"/>
    </x:row>
    <x:row r="99">
      <x:c r="A99" s="37"/>
      <x:c r="B99" s="59" t="str">
        <x:f>IF(C99="","","STF-"&amp;TEXT(ROW()-5,"000"))</x:f>
      </x:c>
      <x:c r="C99" s="37"/>
      <x:c r="D99" s="37"/>
      <x:c r="E99" s="37"/>
      <x:c r="F99" s="37"/>
      <x:c r="G99" s="37"/>
      <x:c r="H99" s="42"/>
      <x:c r="I99" s="37"/>
      <x:c r="J99" s="37"/>
      <x:c r="K99" s="42"/>
      <x:c r="L99" s="37"/>
      <x:c r="M99" s="44"/>
      <x:c r="N99" s="37"/>
      <x:c r="O99" s="37"/>
    </x:row>
    <x:row r="100">
      <x:c r="A100" s="37"/>
      <x:c r="B100" s="59" t="str">
        <x:f>IF(C100="","","STF-"&amp;TEXT(ROW()-5,"000"))</x:f>
      </x:c>
      <x:c r="C100" s="37"/>
      <x:c r="D100" s="37"/>
      <x:c r="E100" s="37"/>
      <x:c r="F100" s="37"/>
      <x:c r="G100" s="37"/>
      <x:c r="H100" s="42"/>
      <x:c r="I100" s="37"/>
      <x:c r="J100" s="37"/>
      <x:c r="K100" s="42"/>
      <x:c r="L100" s="37"/>
      <x:c r="M100" s="44"/>
      <x:c r="N100" s="37"/>
      <x:c r="O100" s="37"/>
    </x:row>
    <x:row r="101">
      <x:c r="A101" s="37"/>
      <x:c r="B101" s="59" t="str">
        <x:f>IF(C101="","","STF-"&amp;TEXT(ROW()-5,"000"))</x:f>
      </x:c>
      <x:c r="C101" s="37"/>
      <x:c r="D101" s="37"/>
      <x:c r="E101" s="37"/>
      <x:c r="F101" s="37"/>
      <x:c r="G101" s="37"/>
      <x:c r="H101" s="42"/>
      <x:c r="I101" s="37"/>
      <x:c r="J101" s="37"/>
      <x:c r="K101" s="42"/>
      <x:c r="L101" s="37"/>
      <x:c r="M101" s="44"/>
      <x:c r="N101" s="37"/>
      <x:c r="O101" s="37"/>
    </x:row>
    <x:row r="102">
      <x:c r="A102" s="37"/>
      <x:c r="B102" s="59" t="str">
        <x:f>IF(C102="","","STF-"&amp;TEXT(ROW()-5,"000"))</x:f>
      </x:c>
      <x:c r="C102" s="37"/>
      <x:c r="D102" s="37"/>
      <x:c r="E102" s="37"/>
      <x:c r="F102" s="37"/>
      <x:c r="G102" s="37"/>
      <x:c r="H102" s="42"/>
      <x:c r="I102" s="37"/>
      <x:c r="J102" s="37"/>
      <x:c r="K102" s="42"/>
      <x:c r="L102" s="37"/>
      <x:c r="M102" s="44"/>
      <x:c r="N102" s="37"/>
      <x:c r="O102" s="37"/>
    </x:row>
    <x:row r="103">
      <x:c r="A103" s="37"/>
      <x:c r="B103" s="59" t="str">
        <x:f>IF(C103="","","STF-"&amp;TEXT(ROW()-5,"000"))</x:f>
      </x:c>
      <x:c r="C103" s="37"/>
      <x:c r="D103" s="37"/>
      <x:c r="E103" s="37"/>
      <x:c r="F103" s="37"/>
      <x:c r="G103" s="37"/>
      <x:c r="H103" s="42"/>
      <x:c r="I103" s="37"/>
      <x:c r="J103" s="37"/>
      <x:c r="K103" s="42"/>
      <x:c r="L103" s="37"/>
      <x:c r="M103" s="44"/>
      <x:c r="N103" s="37"/>
      <x:c r="O103" s="37"/>
    </x:row>
    <x:row r="104">
      <x:c r="A104" s="37"/>
      <x:c r="B104" s="59" t="str">
        <x:f>IF(C104="","","STF-"&amp;TEXT(ROW()-5,"000"))</x:f>
      </x:c>
      <x:c r="C104" s="37"/>
      <x:c r="D104" s="37"/>
      <x:c r="E104" s="37"/>
      <x:c r="F104" s="37"/>
      <x:c r="G104" s="37"/>
      <x:c r="H104" s="42"/>
      <x:c r="I104" s="37"/>
      <x:c r="J104" s="37"/>
      <x:c r="K104" s="42"/>
      <x:c r="L104" s="37"/>
      <x:c r="M104" s="44"/>
      <x:c r="N104" s="37"/>
      <x:c r="O104" s="37"/>
    </x:row>
    <x:row r="105">
      <x:c r="A105" s="37"/>
      <x:c r="B105" s="59" t="str">
        <x:f>IF(C105="","","STF-"&amp;TEXT(ROW()-5,"000"))</x:f>
      </x:c>
      <x:c r="C105" s="37"/>
      <x:c r="D105" s="37"/>
      <x:c r="E105" s="37"/>
      <x:c r="F105" s="37"/>
      <x:c r="G105" s="37"/>
      <x:c r="H105" s="42"/>
      <x:c r="I105" s="37"/>
      <x:c r="J105" s="37"/>
      <x:c r="K105" s="42"/>
      <x:c r="L105" s="37"/>
      <x:c r="M105" s="44"/>
      <x:c r="N105" s="37"/>
      <x:c r="O105" s="37"/>
    </x:row>
  </x:sheetData>
  <x:mergeCells>
    <x:mergeCell ref="A1:O1"/>
    <x:mergeCell ref="A2:O2"/>
    <x:mergeCell ref="A4:O4"/>
  </x:mergeCells>
  <x:dataValidations count="4">
    <x:dataValidation type="list" sqref="A6:A105">
      <x:formula1>99_SETTINGS!$D$19:$D$20</x:formula1>
    </x:dataValidation>
    <x:dataValidation type="list" sqref="D6:D105">
      <x:formula1>99_SETTINGS!$J$19:$J$25</x:formula1>
    </x:dataValidation>
    <x:dataValidation type="list" sqref="E6:E105">
      <x:formula1>99_SETTINGS!$D$5:$D$8</x:formula1>
    </x:dataValidation>
    <x:dataValidation type="list" sqref="I6:I105">
      <x:formula1>99_SETTINGS!$I$19:$I$22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3578b578e54b8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18" hidden="0" customWidth="1"/>
    <x:col min="5" max="5" width="18" hidden="0" customWidth="1"/>
    <x:col min="6" max="6" width="10" hidden="0" customWidth="1"/>
    <x:col min="7" max="7" width="13" hidden="0" customWidth="1"/>
    <x:col min="8" max="8" width="16" hidden="0" customWidth="1"/>
    <x:col min="9" max="9" width="22" hidden="0" customWidth="1"/>
    <x:col min="10" max="10" width="16" hidden="0" customWidth="1"/>
    <x:col min="11" max="11" width="15" hidden="0" customWidth="1"/>
    <x:col min="12" max="12" width="18" hidden="0" customWidth="1"/>
    <x:col min="13" max="13" width="15" hidden="0" customWidth="1"/>
    <x:col min="14" max="14" width="16" hidden="0" customWidth="1"/>
    <x:col min="15" max="15" width="15" hidden="0" customWidth="1"/>
    <x:col min="16" max="16" width="22" hidden="0" customWidth="1"/>
    <x:col min="17" max="17" width="30" hidden="0" customWidth="1"/>
  </x:cols>
  <x:sheetData>
    <x:row r="1" ht="34" customHeight="1">
      <x:c r="A1" s="4" t="str">
        <x:v>EQUIPMENT ASSET &amp; MAINTENANCE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6" customHeight="1">
      <x:c r="A2" s="10" t="str">
        <x:v>Track reformers, towers, chairs, electronics and safety equipment.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4">
      <x:c r="A4" s="53" t="str">
        <x:v>Yellow = staff input | Grey/green = automatic calculation | Demo rows can be replaced with real data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</x:row>
    <x:row r="5" ht="34" customHeight="1">
      <x:c r="A5" s="18" t="str">
        <x:v>Record Type</x:v>
      </x:c>
      <x:c r="B5" s="18" t="str">
        <x:v>Asset ID</x:v>
      </x:c>
      <x:c r="C5" s="18" t="str">
        <x:v>Equipment / Asset</x:v>
      </x:c>
      <x:c r="D5" s="18" t="str">
        <x:v>Category</x:v>
      </x:c>
      <x:c r="E5" s="18" t="str">
        <x:v>Branch</x:v>
      </x:c>
      <x:c r="F5" s="18" t="str">
        <x:v>Quantity</x:v>
      </x:c>
      <x:c r="G5" s="18" t="str">
        <x:v>Purchase Date</x:v>
      </x:c>
      <x:c r="H5" s="18" t="str">
        <x:v>Purchase Cost</x:v>
      </x:c>
      <x:c r="I5" s="18" t="str">
        <x:v>Supplier</x:v>
      </x:c>
      <x:c r="J5" s="18" t="str">
        <x:v>Condition</x:v>
      </x:c>
      <x:c r="K5" s="18" t="str">
        <x:v>Last Service Date</x:v>
      </x:c>
      <x:c r="L5" s="18" t="str">
        <x:v>Service Interval (Days)</x:v>
      </x:c>
      <x:c r="M5" s="18" t="str">
        <x:v>Next Service Due</x:v>
      </x:c>
      <x:c r="N5" s="18" t="str">
        <x:v>Status</x:v>
      </x:c>
      <x:c r="O5" s="18" t="str">
        <x:v>Warranty Expiry</x:v>
      </x:c>
      <x:c r="P5" s="18" t="str">
        <x:v>Responsible Staff</x:v>
      </x:c>
      <x:c r="Q5" s="18" t="str">
        <x:v>Notes</x:v>
      </x:c>
    </x:row>
    <x:row r="6">
      <x:c r="A6" s="37" t="str">
        <x:v>DEMO</x:v>
      </x:c>
      <x:c r="B6" s="59" t="str">
        <x:f>IF(C6="","","AST-"&amp;TEXT(ROW()-5,"0000"))</x:f>
        <x:v>AST-0001</x:v>
      </x:c>
      <x:c r="C6" s="37" t="str">
        <x:v>Reformer 1</x:v>
      </x:c>
      <x:c r="D6" s="37" t="str">
        <x:v>Pilates Equipment</x:v>
      </x:c>
      <x:c r="E6" s="37" t="str">
        <x:v>Main Studio</x:v>
      </x:c>
      <x:c r="F6" s="37" t="n">
        <x:v>1</x:v>
      </x:c>
      <x:c r="G6" s="42" t="n">
        <x:v>45992</x:v>
      </x:c>
      <x:c r="H6" s="44" t="n">
        <x:v>350000</x:v>
      </x:c>
      <x:c r="I6" s="37" t="str">
        <x:v>Supplier A</x:v>
      </x:c>
      <x:c r="J6" s="37" t="str">
        <x:v>Excellent</x:v>
      </x:c>
      <x:c r="K6" s="42" t="n">
        <x:v>46174</x:v>
      </x:c>
      <x:c r="L6" s="37" t="n">
        <x:v>180</x:v>
      </x:c>
      <x:c r="M6" s="80" t="n">
        <x:f>IF(OR(K6="",L6=""),"",K6+L6)</x:f>
        <x:v>46354</x:v>
      </x:c>
      <x:c r="N6" s="37" t="str">
        <x:v>In Service</x:v>
      </x:c>
      <x:c r="O6" s="42" t="n">
        <x:v>46722</x:v>
      </x:c>
      <x:c r="P6" s="37" t="str">
        <x:v>Maya Gurung</x:v>
      </x:c>
      <x:c r="Q6" s="37" t="str"/>
    </x:row>
    <x:row r="7">
      <x:c r="A7" s="37" t="str">
        <x:v>DEMO</x:v>
      </x:c>
      <x:c r="B7" s="59" t="str">
        <x:f>IF(C7="","","AST-"&amp;TEXT(ROW()-5,"0000"))</x:f>
        <x:v>AST-0002</x:v>
      </x:c>
      <x:c r="C7" s="37" t="str">
        <x:v>Reformer 2</x:v>
      </x:c>
      <x:c r="D7" s="37" t="str">
        <x:v>Pilates Equipment</x:v>
      </x:c>
      <x:c r="E7" s="37" t="str">
        <x:v>Main Studio</x:v>
      </x:c>
      <x:c r="F7" s="37" t="n">
        <x:v>1</x:v>
      </x:c>
      <x:c r="G7" s="42" t="n">
        <x:v>45992</x:v>
      </x:c>
      <x:c r="H7" s="44" t="n">
        <x:v>350000</x:v>
      </x:c>
      <x:c r="I7" s="37" t="str">
        <x:v>Supplier A</x:v>
      </x:c>
      <x:c r="J7" s="37" t="str">
        <x:v>Good</x:v>
      </x:c>
      <x:c r="K7" s="42" t="n">
        <x:v>46113</x:v>
      </x:c>
      <x:c r="L7" s="37" t="n">
        <x:v>180</x:v>
      </x:c>
      <x:c r="M7" s="80" t="n">
        <x:f>IF(OR(K7="",L7=""),"",K7+L7)</x:f>
        <x:v>46293</x:v>
      </x:c>
      <x:c r="N7" s="37" t="str">
        <x:v>In Service</x:v>
      </x:c>
      <x:c r="O7" s="42" t="n">
        <x:v>46722</x:v>
      </x:c>
      <x:c r="P7" s="37" t="str">
        <x:v>Riya Thapa</x:v>
      </x:c>
      <x:c r="Q7" s="37" t="str"/>
    </x:row>
    <x:row r="8">
      <x:c r="A8" s="37" t="str">
        <x:v>DEMO</x:v>
      </x:c>
      <x:c r="B8" s="59" t="str">
        <x:f>IF(C8="","","AST-"&amp;TEXT(ROW()-5,"0000"))</x:f>
        <x:v>AST-0003</x:v>
      </x:c>
      <x:c r="C8" s="37" t="str">
        <x:v>Reformer 3</x:v>
      </x:c>
      <x:c r="D8" s="37" t="str">
        <x:v>Pilates Equipment</x:v>
      </x:c>
      <x:c r="E8" s="37" t="str">
        <x:v>Main Studio</x:v>
      </x:c>
      <x:c r="F8" s="37" t="n">
        <x:v>1</x:v>
      </x:c>
      <x:c r="G8" s="42" t="n">
        <x:v>45992</x:v>
      </x:c>
      <x:c r="H8" s="44" t="n">
        <x:v>350000</x:v>
      </x:c>
      <x:c r="I8" s="37" t="str">
        <x:v>Supplier A</x:v>
      </x:c>
      <x:c r="J8" s="37" t="str">
        <x:v>Needs Repair</x:v>
      </x:c>
      <x:c r="K8" s="42" t="n">
        <x:v>46023</x:v>
      </x:c>
      <x:c r="L8" s="37" t="n">
        <x:v>180</x:v>
      </x:c>
      <x:c r="M8" s="80" t="n">
        <x:f>IF(OR(K8="",L8=""),"",K8+L8)</x:f>
        <x:v>46203</x:v>
      </x:c>
      <x:c r="N8" s="37" t="str">
        <x:v>Inspection Needed</x:v>
      </x:c>
      <x:c r="O8" s="42" t="n">
        <x:v>46722</x:v>
      </x:c>
      <x:c r="P8" s="37" t="str">
        <x:v>Maya Gurung</x:v>
      </x:c>
      <x:c r="Q8" s="37" t="str">
        <x:v>Footbar noise</x:v>
      </x:c>
    </x:row>
    <x:row r="9">
      <x:c r="A9" s="37" t="str">
        <x:v>DEMO</x:v>
      </x:c>
      <x:c r="B9" s="59" t="str">
        <x:f>IF(C9="","","AST-"&amp;TEXT(ROW()-5,"0000"))</x:f>
        <x:v>AST-0004</x:v>
      </x:c>
      <x:c r="C9" s="37" t="str">
        <x:v>AED / First Aid Kit</x:v>
      </x:c>
      <x:c r="D9" s="37" t="str">
        <x:v>Safety</x:v>
      </x:c>
      <x:c r="E9" s="37" t="str">
        <x:v>Main Studio</x:v>
      </x:c>
      <x:c r="F9" s="37" t="n">
        <x:v>1</x:v>
      </x:c>
      <x:c r="G9" s="42" t="n">
        <x:v>46006</x:v>
      </x:c>
      <x:c r="H9" s="44" t="n">
        <x:v>45000</x:v>
      </x:c>
      <x:c r="I9" s="37" t="str">
        <x:v>Supplier B</x:v>
      </x:c>
      <x:c r="J9" s="37" t="str">
        <x:v>Good</x:v>
      </x:c>
      <x:c r="K9" s="42" t="n">
        <x:v>46143</x:v>
      </x:c>
      <x:c r="L9" s="37" t="n">
        <x:v>90</x:v>
      </x:c>
      <x:c r="M9" s="80" t="n">
        <x:f>IF(OR(K9="",L9=""),"",K9+L9)</x:f>
        <x:v>46233</x:v>
      </x:c>
      <x:c r="N9" s="37" t="str">
        <x:v>In Service</x:v>
      </x:c>
      <x:c r="O9" s="42" t="n">
        <x:v>46736</x:v>
      </x:c>
      <x:c r="P9" s="37" t="str">
        <x:v>Anita Sharma</x:v>
      </x:c>
      <x:c r="Q9" s="37" t="str"/>
    </x:row>
    <x:row r="10">
      <x:c r="A10" s="37" t="str">
        <x:v>DEMO</x:v>
      </x:c>
      <x:c r="B10" s="59" t="str">
        <x:f>IF(C10="","","AST-"&amp;TEXT(ROW()-5,"0000"))</x:f>
        <x:v>AST-0005</x:v>
      </x:c>
      <x:c r="C10" s="37" t="str">
        <x:v>Reception Laptop</x:v>
      </x:c>
      <x:c r="D10" s="37" t="str">
        <x:v>IT</x:v>
      </x:c>
      <x:c r="E10" s="37" t="str">
        <x:v>Main Studio</x:v>
      </x:c>
      <x:c r="F10" s="37" t="n">
        <x:v>1</x:v>
      </x:c>
      <x:c r="G10" s="42" t="n">
        <x:v>46001</x:v>
      </x:c>
      <x:c r="H10" s="44" t="n">
        <x:v>90000</x:v>
      </x:c>
      <x:c r="I10" s="37" t="str">
        <x:v>Supplier C</x:v>
      </x:c>
      <x:c r="J10" s="37" t="str">
        <x:v>Good</x:v>
      </x:c>
      <x:c r="K10" s="42" t="n">
        <x:v>46174</x:v>
      </x:c>
      <x:c r="L10" s="37" t="n">
        <x:v>365</x:v>
      </x:c>
      <x:c r="M10" s="80" t="n">
        <x:f>IF(OR(K10="",L10=""),"",K10+L10)</x:f>
        <x:v>46539</x:v>
      </x:c>
      <x:c r="N10" s="37" t="str">
        <x:v>In Service</x:v>
      </x:c>
      <x:c r="O10" s="42" t="n">
        <x:v>46731</x:v>
      </x:c>
      <x:c r="P10" s="37" t="str">
        <x:v>Nisha Rai</x:v>
      </x:c>
      <x:c r="Q10" s="37" t="str"/>
    </x:row>
    <x:row r="11">
      <x:c r="A11" s="37"/>
      <x:c r="B11" s="59" t="str">
        <x:f>IF(C11="","","AST-"&amp;TEXT(ROW()-5,"0000"))</x:f>
      </x:c>
      <x:c r="C11" s="37"/>
      <x:c r="D11" s="37"/>
      <x:c r="E11" s="37"/>
      <x:c r="F11" s="37"/>
      <x:c r="G11" s="42"/>
      <x:c r="H11" s="44"/>
      <x:c r="I11" s="37"/>
      <x:c r="J11" s="37"/>
      <x:c r="K11" s="42"/>
      <x:c r="L11" s="37"/>
      <x:c r="M11" s="80" t="str">
        <x:f>IF(OR(K11="",L11=""),"",K11+L11)</x:f>
      </x:c>
      <x:c r="N11" s="37"/>
      <x:c r="O11" s="42"/>
      <x:c r="P11" s="37"/>
      <x:c r="Q11" s="37"/>
    </x:row>
    <x:row r="12">
      <x:c r="A12" s="37"/>
      <x:c r="B12" s="59" t="str">
        <x:f>IF(C12="","","AST-"&amp;TEXT(ROW()-5,"0000"))</x:f>
      </x:c>
      <x:c r="C12" s="37"/>
      <x:c r="D12" s="37"/>
      <x:c r="E12" s="37"/>
      <x:c r="F12" s="37"/>
      <x:c r="G12" s="42"/>
      <x:c r="H12" s="44"/>
      <x:c r="I12" s="37"/>
      <x:c r="J12" s="37"/>
      <x:c r="K12" s="42"/>
      <x:c r="L12" s="37"/>
      <x:c r="M12" s="80" t="str">
        <x:f>IF(OR(K12="",L12=""),"",K12+L12)</x:f>
      </x:c>
      <x:c r="N12" s="37"/>
      <x:c r="O12" s="42"/>
      <x:c r="P12" s="37"/>
      <x:c r="Q12" s="37"/>
    </x:row>
    <x:row r="13">
      <x:c r="A13" s="37"/>
      <x:c r="B13" s="59" t="str">
        <x:f>IF(C13="","","AST-"&amp;TEXT(ROW()-5,"0000"))</x:f>
      </x:c>
      <x:c r="C13" s="37"/>
      <x:c r="D13" s="37"/>
      <x:c r="E13" s="37"/>
      <x:c r="F13" s="37"/>
      <x:c r="G13" s="42"/>
      <x:c r="H13" s="44"/>
      <x:c r="I13" s="37"/>
      <x:c r="J13" s="37"/>
      <x:c r="K13" s="42"/>
      <x:c r="L13" s="37"/>
      <x:c r="M13" s="80" t="str">
        <x:f>IF(OR(K13="",L13=""),"",K13+L13)</x:f>
      </x:c>
      <x:c r="N13" s="37"/>
      <x:c r="O13" s="42"/>
      <x:c r="P13" s="37"/>
      <x:c r="Q13" s="37"/>
    </x:row>
    <x:row r="14">
      <x:c r="A14" s="37"/>
      <x:c r="B14" s="59" t="str">
        <x:f>IF(C14="","","AST-"&amp;TEXT(ROW()-5,"0000"))</x:f>
      </x:c>
      <x:c r="C14" s="37"/>
      <x:c r="D14" s="37"/>
      <x:c r="E14" s="37"/>
      <x:c r="F14" s="37"/>
      <x:c r="G14" s="42"/>
      <x:c r="H14" s="44"/>
      <x:c r="I14" s="37"/>
      <x:c r="J14" s="37"/>
      <x:c r="K14" s="42"/>
      <x:c r="L14" s="37"/>
      <x:c r="M14" s="80" t="str">
        <x:f>IF(OR(K14="",L14=""),"",K14+L14)</x:f>
      </x:c>
      <x:c r="N14" s="37"/>
      <x:c r="O14" s="42"/>
      <x:c r="P14" s="37"/>
      <x:c r="Q14" s="37"/>
    </x:row>
    <x:row r="15">
      <x:c r="A15" s="37"/>
      <x:c r="B15" s="59" t="str">
        <x:f>IF(C15="","","AST-"&amp;TEXT(ROW()-5,"0000"))</x:f>
      </x:c>
      <x:c r="C15" s="37"/>
      <x:c r="D15" s="37"/>
      <x:c r="E15" s="37"/>
      <x:c r="F15" s="37"/>
      <x:c r="G15" s="42"/>
      <x:c r="H15" s="44"/>
      <x:c r="I15" s="37"/>
      <x:c r="J15" s="37"/>
      <x:c r="K15" s="42"/>
      <x:c r="L15" s="37"/>
      <x:c r="M15" s="80" t="str">
        <x:f>IF(OR(K15="",L15=""),"",K15+L15)</x:f>
      </x:c>
      <x:c r="N15" s="37"/>
      <x:c r="O15" s="42"/>
      <x:c r="P15" s="37"/>
      <x:c r="Q15" s="37"/>
    </x:row>
    <x:row r="16">
      <x:c r="A16" s="37"/>
      <x:c r="B16" s="59" t="str">
        <x:f>IF(C16="","","AST-"&amp;TEXT(ROW()-5,"0000"))</x:f>
      </x:c>
      <x:c r="C16" s="37"/>
      <x:c r="D16" s="37"/>
      <x:c r="E16" s="37"/>
      <x:c r="F16" s="37"/>
      <x:c r="G16" s="42"/>
      <x:c r="H16" s="44"/>
      <x:c r="I16" s="37"/>
      <x:c r="J16" s="37"/>
      <x:c r="K16" s="42"/>
      <x:c r="L16" s="37"/>
      <x:c r="M16" s="80" t="str">
        <x:f>IF(OR(K16="",L16=""),"",K16+L16)</x:f>
      </x:c>
      <x:c r="N16" s="37"/>
      <x:c r="O16" s="42"/>
      <x:c r="P16" s="37"/>
      <x:c r="Q16" s="37"/>
    </x:row>
    <x:row r="17">
      <x:c r="A17" s="37"/>
      <x:c r="B17" s="59" t="str">
        <x:f>IF(C17="","","AST-"&amp;TEXT(ROW()-5,"0000"))</x:f>
      </x:c>
      <x:c r="C17" s="37"/>
      <x:c r="D17" s="37"/>
      <x:c r="E17" s="37"/>
      <x:c r="F17" s="37"/>
      <x:c r="G17" s="42"/>
      <x:c r="H17" s="44"/>
      <x:c r="I17" s="37"/>
      <x:c r="J17" s="37"/>
      <x:c r="K17" s="42"/>
      <x:c r="L17" s="37"/>
      <x:c r="M17" s="80" t="str">
        <x:f>IF(OR(K17="",L17=""),"",K17+L17)</x:f>
      </x:c>
      <x:c r="N17" s="37"/>
      <x:c r="O17" s="42"/>
      <x:c r="P17" s="37"/>
      <x:c r="Q17" s="37"/>
    </x:row>
    <x:row r="18">
      <x:c r="A18" s="37"/>
      <x:c r="B18" s="59" t="str">
        <x:f>IF(C18="","","AST-"&amp;TEXT(ROW()-5,"0000"))</x:f>
      </x:c>
      <x:c r="C18" s="37"/>
      <x:c r="D18" s="37"/>
      <x:c r="E18" s="37"/>
      <x:c r="F18" s="37"/>
      <x:c r="G18" s="42"/>
      <x:c r="H18" s="44"/>
      <x:c r="I18" s="37"/>
      <x:c r="J18" s="37"/>
      <x:c r="K18" s="42"/>
      <x:c r="L18" s="37"/>
      <x:c r="M18" s="80" t="str">
        <x:f>IF(OR(K18="",L18=""),"",K18+L18)</x:f>
      </x:c>
      <x:c r="N18" s="37"/>
      <x:c r="O18" s="42"/>
      <x:c r="P18" s="37"/>
      <x:c r="Q18" s="37"/>
    </x:row>
    <x:row r="19">
      <x:c r="A19" s="37"/>
      <x:c r="B19" s="59" t="str">
        <x:f>IF(C19="","","AST-"&amp;TEXT(ROW()-5,"0000"))</x:f>
      </x:c>
      <x:c r="C19" s="37"/>
      <x:c r="D19" s="37"/>
      <x:c r="E19" s="37"/>
      <x:c r="F19" s="37"/>
      <x:c r="G19" s="42"/>
      <x:c r="H19" s="44"/>
      <x:c r="I19" s="37"/>
      <x:c r="J19" s="37"/>
      <x:c r="K19" s="42"/>
      <x:c r="L19" s="37"/>
      <x:c r="M19" s="80" t="str">
        <x:f>IF(OR(K19="",L19=""),"",K19+L19)</x:f>
      </x:c>
      <x:c r="N19" s="37"/>
      <x:c r="O19" s="42"/>
      <x:c r="P19" s="37"/>
      <x:c r="Q19" s="37"/>
    </x:row>
    <x:row r="20">
      <x:c r="A20" s="37"/>
      <x:c r="B20" s="59" t="str">
        <x:f>IF(C20="","","AST-"&amp;TEXT(ROW()-5,"0000"))</x:f>
      </x:c>
      <x:c r="C20" s="37"/>
      <x:c r="D20" s="37"/>
      <x:c r="E20" s="37"/>
      <x:c r="F20" s="37"/>
      <x:c r="G20" s="42"/>
      <x:c r="H20" s="44"/>
      <x:c r="I20" s="37"/>
      <x:c r="J20" s="37"/>
      <x:c r="K20" s="42"/>
      <x:c r="L20" s="37"/>
      <x:c r="M20" s="80" t="str">
        <x:f>IF(OR(K20="",L20=""),"",K20+L20)</x:f>
      </x:c>
      <x:c r="N20" s="37"/>
      <x:c r="O20" s="42"/>
      <x:c r="P20" s="37"/>
      <x:c r="Q20" s="37"/>
    </x:row>
    <x:row r="21">
      <x:c r="A21" s="37"/>
      <x:c r="B21" s="59" t="str">
        <x:f>IF(C21="","","AST-"&amp;TEXT(ROW()-5,"0000"))</x:f>
      </x:c>
      <x:c r="C21" s="37"/>
      <x:c r="D21" s="37"/>
      <x:c r="E21" s="37"/>
      <x:c r="F21" s="37"/>
      <x:c r="G21" s="42"/>
      <x:c r="H21" s="44"/>
      <x:c r="I21" s="37"/>
      <x:c r="J21" s="37"/>
      <x:c r="K21" s="42"/>
      <x:c r="L21" s="37"/>
      <x:c r="M21" s="80" t="str">
        <x:f>IF(OR(K21="",L21=""),"",K21+L21)</x:f>
      </x:c>
      <x:c r="N21" s="37"/>
      <x:c r="O21" s="42"/>
      <x:c r="P21" s="37"/>
      <x:c r="Q21" s="37"/>
    </x:row>
    <x:row r="22">
      <x:c r="A22" s="37"/>
      <x:c r="B22" s="59" t="str">
        <x:f>IF(C22="","","AST-"&amp;TEXT(ROW()-5,"0000"))</x:f>
      </x:c>
      <x:c r="C22" s="37"/>
      <x:c r="D22" s="37"/>
      <x:c r="E22" s="37"/>
      <x:c r="F22" s="37"/>
      <x:c r="G22" s="42"/>
      <x:c r="H22" s="44"/>
      <x:c r="I22" s="37"/>
      <x:c r="J22" s="37"/>
      <x:c r="K22" s="42"/>
      <x:c r="L22" s="37"/>
      <x:c r="M22" s="80" t="str">
        <x:f>IF(OR(K22="",L22=""),"",K22+L22)</x:f>
      </x:c>
      <x:c r="N22" s="37"/>
      <x:c r="O22" s="42"/>
      <x:c r="P22" s="37"/>
      <x:c r="Q22" s="37"/>
    </x:row>
    <x:row r="23">
      <x:c r="A23" s="37"/>
      <x:c r="B23" s="59" t="str">
        <x:f>IF(C23="","","AST-"&amp;TEXT(ROW()-5,"0000"))</x:f>
      </x:c>
      <x:c r="C23" s="37"/>
      <x:c r="D23" s="37"/>
      <x:c r="E23" s="37"/>
      <x:c r="F23" s="37"/>
      <x:c r="G23" s="42"/>
      <x:c r="H23" s="44"/>
      <x:c r="I23" s="37"/>
      <x:c r="J23" s="37"/>
      <x:c r="K23" s="42"/>
      <x:c r="L23" s="37"/>
      <x:c r="M23" s="80" t="str">
        <x:f>IF(OR(K23="",L23=""),"",K23+L23)</x:f>
      </x:c>
      <x:c r="N23" s="37"/>
      <x:c r="O23" s="42"/>
      <x:c r="P23" s="37"/>
      <x:c r="Q23" s="37"/>
    </x:row>
    <x:row r="24">
      <x:c r="A24" s="37"/>
      <x:c r="B24" s="59" t="str">
        <x:f>IF(C24="","","AST-"&amp;TEXT(ROW()-5,"0000"))</x:f>
      </x:c>
      <x:c r="C24" s="37"/>
      <x:c r="D24" s="37"/>
      <x:c r="E24" s="37"/>
      <x:c r="F24" s="37"/>
      <x:c r="G24" s="42"/>
      <x:c r="H24" s="44"/>
      <x:c r="I24" s="37"/>
      <x:c r="J24" s="37"/>
      <x:c r="K24" s="42"/>
      <x:c r="L24" s="37"/>
      <x:c r="M24" s="80" t="str">
        <x:f>IF(OR(K24="",L24=""),"",K24+L24)</x:f>
      </x:c>
      <x:c r="N24" s="37"/>
      <x:c r="O24" s="42"/>
      <x:c r="P24" s="37"/>
      <x:c r="Q24" s="37"/>
    </x:row>
    <x:row r="25">
      <x:c r="A25" s="37"/>
      <x:c r="B25" s="59" t="str">
        <x:f>IF(C25="","","AST-"&amp;TEXT(ROW()-5,"0000"))</x:f>
      </x:c>
      <x:c r="C25" s="37"/>
      <x:c r="D25" s="37"/>
      <x:c r="E25" s="37"/>
      <x:c r="F25" s="37"/>
      <x:c r="G25" s="42"/>
      <x:c r="H25" s="44"/>
      <x:c r="I25" s="37"/>
      <x:c r="J25" s="37"/>
      <x:c r="K25" s="42"/>
      <x:c r="L25" s="37"/>
      <x:c r="M25" s="80" t="str">
        <x:f>IF(OR(K25="",L25=""),"",K25+L25)</x:f>
      </x:c>
      <x:c r="N25" s="37"/>
      <x:c r="O25" s="42"/>
      <x:c r="P25" s="37"/>
      <x:c r="Q25" s="37"/>
    </x:row>
    <x:row r="26">
      <x:c r="A26" s="37"/>
      <x:c r="B26" s="59" t="str">
        <x:f>IF(C26="","","AST-"&amp;TEXT(ROW()-5,"0000"))</x:f>
      </x:c>
      <x:c r="C26" s="37"/>
      <x:c r="D26" s="37"/>
      <x:c r="E26" s="37"/>
      <x:c r="F26" s="37"/>
      <x:c r="G26" s="42"/>
      <x:c r="H26" s="44"/>
      <x:c r="I26" s="37"/>
      <x:c r="J26" s="37"/>
      <x:c r="K26" s="42"/>
      <x:c r="L26" s="37"/>
      <x:c r="M26" s="80" t="str">
        <x:f>IF(OR(K26="",L26=""),"",K26+L26)</x:f>
      </x:c>
      <x:c r="N26" s="37"/>
      <x:c r="O26" s="42"/>
      <x:c r="P26" s="37"/>
      <x:c r="Q26" s="37"/>
    </x:row>
    <x:row r="27">
      <x:c r="A27" s="37"/>
      <x:c r="B27" s="59" t="str">
        <x:f>IF(C27="","","AST-"&amp;TEXT(ROW()-5,"0000"))</x:f>
      </x:c>
      <x:c r="C27" s="37"/>
      <x:c r="D27" s="37"/>
      <x:c r="E27" s="37"/>
      <x:c r="F27" s="37"/>
      <x:c r="G27" s="42"/>
      <x:c r="H27" s="44"/>
      <x:c r="I27" s="37"/>
      <x:c r="J27" s="37"/>
      <x:c r="K27" s="42"/>
      <x:c r="L27" s="37"/>
      <x:c r="M27" s="80" t="str">
        <x:f>IF(OR(K27="",L27=""),"",K27+L27)</x:f>
      </x:c>
      <x:c r="N27" s="37"/>
      <x:c r="O27" s="42"/>
      <x:c r="P27" s="37"/>
      <x:c r="Q27" s="37"/>
    </x:row>
    <x:row r="28">
      <x:c r="A28" s="37"/>
      <x:c r="B28" s="59" t="str">
        <x:f>IF(C28="","","AST-"&amp;TEXT(ROW()-5,"0000"))</x:f>
      </x:c>
      <x:c r="C28" s="37"/>
      <x:c r="D28" s="37"/>
      <x:c r="E28" s="37"/>
      <x:c r="F28" s="37"/>
      <x:c r="G28" s="42"/>
      <x:c r="H28" s="44"/>
      <x:c r="I28" s="37"/>
      <x:c r="J28" s="37"/>
      <x:c r="K28" s="42"/>
      <x:c r="L28" s="37"/>
      <x:c r="M28" s="80" t="str">
        <x:f>IF(OR(K28="",L28=""),"",K28+L28)</x:f>
      </x:c>
      <x:c r="N28" s="37"/>
      <x:c r="O28" s="42"/>
      <x:c r="P28" s="37"/>
      <x:c r="Q28" s="37"/>
    </x:row>
    <x:row r="29">
      <x:c r="A29" s="37"/>
      <x:c r="B29" s="59" t="str">
        <x:f>IF(C29="","","AST-"&amp;TEXT(ROW()-5,"0000"))</x:f>
      </x:c>
      <x:c r="C29" s="37"/>
      <x:c r="D29" s="37"/>
      <x:c r="E29" s="37"/>
      <x:c r="F29" s="37"/>
      <x:c r="G29" s="42"/>
      <x:c r="H29" s="44"/>
      <x:c r="I29" s="37"/>
      <x:c r="J29" s="37"/>
      <x:c r="K29" s="42"/>
      <x:c r="L29" s="37"/>
      <x:c r="M29" s="80" t="str">
        <x:f>IF(OR(K29="",L29=""),"",K29+L29)</x:f>
      </x:c>
      <x:c r="N29" s="37"/>
      <x:c r="O29" s="42"/>
      <x:c r="P29" s="37"/>
      <x:c r="Q29" s="37"/>
    </x:row>
    <x:row r="30">
      <x:c r="A30" s="37"/>
      <x:c r="B30" s="59" t="str">
        <x:f>IF(C30="","","AST-"&amp;TEXT(ROW()-5,"0000"))</x:f>
      </x:c>
      <x:c r="C30" s="37"/>
      <x:c r="D30" s="37"/>
      <x:c r="E30" s="37"/>
      <x:c r="F30" s="37"/>
      <x:c r="G30" s="42"/>
      <x:c r="H30" s="44"/>
      <x:c r="I30" s="37"/>
      <x:c r="J30" s="37"/>
      <x:c r="K30" s="42"/>
      <x:c r="L30" s="37"/>
      <x:c r="M30" s="80" t="str">
        <x:f>IF(OR(K30="",L30=""),"",K30+L30)</x:f>
      </x:c>
      <x:c r="N30" s="37"/>
      <x:c r="O30" s="42"/>
      <x:c r="P30" s="37"/>
      <x:c r="Q30" s="37"/>
    </x:row>
    <x:row r="31">
      <x:c r="A31" s="37"/>
      <x:c r="B31" s="59" t="str">
        <x:f>IF(C31="","","AST-"&amp;TEXT(ROW()-5,"0000"))</x:f>
      </x:c>
      <x:c r="C31" s="37"/>
      <x:c r="D31" s="37"/>
      <x:c r="E31" s="37"/>
      <x:c r="F31" s="37"/>
      <x:c r="G31" s="42"/>
      <x:c r="H31" s="44"/>
      <x:c r="I31" s="37"/>
      <x:c r="J31" s="37"/>
      <x:c r="K31" s="42"/>
      <x:c r="L31" s="37"/>
      <x:c r="M31" s="80" t="str">
        <x:f>IF(OR(K31="",L31=""),"",K31+L31)</x:f>
      </x:c>
      <x:c r="N31" s="37"/>
      <x:c r="O31" s="42"/>
      <x:c r="P31" s="37"/>
      <x:c r="Q31" s="37"/>
    </x:row>
    <x:row r="32">
      <x:c r="A32" s="37"/>
      <x:c r="B32" s="59" t="str">
        <x:f>IF(C32="","","AST-"&amp;TEXT(ROW()-5,"0000"))</x:f>
      </x:c>
      <x:c r="C32" s="37"/>
      <x:c r="D32" s="37"/>
      <x:c r="E32" s="37"/>
      <x:c r="F32" s="37"/>
      <x:c r="G32" s="42"/>
      <x:c r="H32" s="44"/>
      <x:c r="I32" s="37"/>
      <x:c r="J32" s="37"/>
      <x:c r="K32" s="42"/>
      <x:c r="L32" s="37"/>
      <x:c r="M32" s="80" t="str">
        <x:f>IF(OR(K32="",L32=""),"",K32+L32)</x:f>
      </x:c>
      <x:c r="N32" s="37"/>
      <x:c r="O32" s="42"/>
      <x:c r="P32" s="37"/>
      <x:c r="Q32" s="37"/>
    </x:row>
    <x:row r="33">
      <x:c r="A33" s="37"/>
      <x:c r="B33" s="59" t="str">
        <x:f>IF(C33="","","AST-"&amp;TEXT(ROW()-5,"0000"))</x:f>
      </x:c>
      <x:c r="C33" s="37"/>
      <x:c r="D33" s="37"/>
      <x:c r="E33" s="37"/>
      <x:c r="F33" s="37"/>
      <x:c r="G33" s="42"/>
      <x:c r="H33" s="44"/>
      <x:c r="I33" s="37"/>
      <x:c r="J33" s="37"/>
      <x:c r="K33" s="42"/>
      <x:c r="L33" s="37"/>
      <x:c r="M33" s="80" t="str">
        <x:f>IF(OR(K33="",L33=""),"",K33+L33)</x:f>
      </x:c>
      <x:c r="N33" s="37"/>
      <x:c r="O33" s="42"/>
      <x:c r="P33" s="37"/>
      <x:c r="Q33" s="37"/>
    </x:row>
    <x:row r="34">
      <x:c r="A34" s="37"/>
      <x:c r="B34" s="59" t="str">
        <x:f>IF(C34="","","AST-"&amp;TEXT(ROW()-5,"0000"))</x:f>
      </x:c>
      <x:c r="C34" s="37"/>
      <x:c r="D34" s="37"/>
      <x:c r="E34" s="37"/>
      <x:c r="F34" s="37"/>
      <x:c r="G34" s="42"/>
      <x:c r="H34" s="44"/>
      <x:c r="I34" s="37"/>
      <x:c r="J34" s="37"/>
      <x:c r="K34" s="42"/>
      <x:c r="L34" s="37"/>
      <x:c r="M34" s="80" t="str">
        <x:f>IF(OR(K34="",L34=""),"",K34+L34)</x:f>
      </x:c>
      <x:c r="N34" s="37"/>
      <x:c r="O34" s="42"/>
      <x:c r="P34" s="37"/>
      <x:c r="Q34" s="37"/>
    </x:row>
    <x:row r="35">
      <x:c r="A35" s="37"/>
      <x:c r="B35" s="59" t="str">
        <x:f>IF(C35="","","AST-"&amp;TEXT(ROW()-5,"0000"))</x:f>
      </x:c>
      <x:c r="C35" s="37"/>
      <x:c r="D35" s="37"/>
      <x:c r="E35" s="37"/>
      <x:c r="F35" s="37"/>
      <x:c r="G35" s="42"/>
      <x:c r="H35" s="44"/>
      <x:c r="I35" s="37"/>
      <x:c r="J35" s="37"/>
      <x:c r="K35" s="42"/>
      <x:c r="L35" s="37"/>
      <x:c r="M35" s="80" t="str">
        <x:f>IF(OR(K35="",L35=""),"",K35+L35)</x:f>
      </x:c>
      <x:c r="N35" s="37"/>
      <x:c r="O35" s="42"/>
      <x:c r="P35" s="37"/>
      <x:c r="Q35" s="37"/>
    </x:row>
    <x:row r="36">
      <x:c r="A36" s="37"/>
      <x:c r="B36" s="59" t="str">
        <x:f>IF(C36="","","AST-"&amp;TEXT(ROW()-5,"0000"))</x:f>
      </x:c>
      <x:c r="C36" s="37"/>
      <x:c r="D36" s="37"/>
      <x:c r="E36" s="37"/>
      <x:c r="F36" s="37"/>
      <x:c r="G36" s="42"/>
      <x:c r="H36" s="44"/>
      <x:c r="I36" s="37"/>
      <x:c r="J36" s="37"/>
      <x:c r="K36" s="42"/>
      <x:c r="L36" s="37"/>
      <x:c r="M36" s="80" t="str">
        <x:f>IF(OR(K36="",L36=""),"",K36+L36)</x:f>
      </x:c>
      <x:c r="N36" s="37"/>
      <x:c r="O36" s="42"/>
      <x:c r="P36" s="37"/>
      <x:c r="Q36" s="37"/>
    </x:row>
    <x:row r="37">
      <x:c r="A37" s="37"/>
      <x:c r="B37" s="59" t="str">
        <x:f>IF(C37="","","AST-"&amp;TEXT(ROW()-5,"0000"))</x:f>
      </x:c>
      <x:c r="C37" s="37"/>
      <x:c r="D37" s="37"/>
      <x:c r="E37" s="37"/>
      <x:c r="F37" s="37"/>
      <x:c r="G37" s="42"/>
      <x:c r="H37" s="44"/>
      <x:c r="I37" s="37"/>
      <x:c r="J37" s="37"/>
      <x:c r="K37" s="42"/>
      <x:c r="L37" s="37"/>
      <x:c r="M37" s="80" t="str">
        <x:f>IF(OR(K37="",L37=""),"",K37+L37)</x:f>
      </x:c>
      <x:c r="N37" s="37"/>
      <x:c r="O37" s="42"/>
      <x:c r="P37" s="37"/>
      <x:c r="Q37" s="37"/>
    </x:row>
    <x:row r="38">
      <x:c r="A38" s="37"/>
      <x:c r="B38" s="59" t="str">
        <x:f>IF(C38="","","AST-"&amp;TEXT(ROW()-5,"0000"))</x:f>
      </x:c>
      <x:c r="C38" s="37"/>
      <x:c r="D38" s="37"/>
      <x:c r="E38" s="37"/>
      <x:c r="F38" s="37"/>
      <x:c r="G38" s="42"/>
      <x:c r="H38" s="44"/>
      <x:c r="I38" s="37"/>
      <x:c r="J38" s="37"/>
      <x:c r="K38" s="42"/>
      <x:c r="L38" s="37"/>
      <x:c r="M38" s="80" t="str">
        <x:f>IF(OR(K38="",L38=""),"",K38+L38)</x:f>
      </x:c>
      <x:c r="N38" s="37"/>
      <x:c r="O38" s="42"/>
      <x:c r="P38" s="37"/>
      <x:c r="Q38" s="37"/>
    </x:row>
    <x:row r="39">
      <x:c r="A39" s="37"/>
      <x:c r="B39" s="59" t="str">
        <x:f>IF(C39="","","AST-"&amp;TEXT(ROW()-5,"0000"))</x:f>
      </x:c>
      <x:c r="C39" s="37"/>
      <x:c r="D39" s="37"/>
      <x:c r="E39" s="37"/>
      <x:c r="F39" s="37"/>
      <x:c r="G39" s="42"/>
      <x:c r="H39" s="44"/>
      <x:c r="I39" s="37"/>
      <x:c r="J39" s="37"/>
      <x:c r="K39" s="42"/>
      <x:c r="L39" s="37"/>
      <x:c r="M39" s="80" t="str">
        <x:f>IF(OR(K39="",L39=""),"",K39+L39)</x:f>
      </x:c>
      <x:c r="N39" s="37"/>
      <x:c r="O39" s="42"/>
      <x:c r="P39" s="37"/>
      <x:c r="Q39" s="37"/>
    </x:row>
    <x:row r="40">
      <x:c r="A40" s="37"/>
      <x:c r="B40" s="59" t="str">
        <x:f>IF(C40="","","AST-"&amp;TEXT(ROW()-5,"0000"))</x:f>
      </x:c>
      <x:c r="C40" s="37"/>
      <x:c r="D40" s="37"/>
      <x:c r="E40" s="37"/>
      <x:c r="F40" s="37"/>
      <x:c r="G40" s="42"/>
      <x:c r="H40" s="44"/>
      <x:c r="I40" s="37"/>
      <x:c r="J40" s="37"/>
      <x:c r="K40" s="42"/>
      <x:c r="L40" s="37"/>
      <x:c r="M40" s="80" t="str">
        <x:f>IF(OR(K40="",L40=""),"",K40+L40)</x:f>
      </x:c>
      <x:c r="N40" s="37"/>
      <x:c r="O40" s="42"/>
      <x:c r="P40" s="37"/>
      <x:c r="Q40" s="37"/>
    </x:row>
    <x:row r="41">
      <x:c r="A41" s="37"/>
      <x:c r="B41" s="59" t="str">
        <x:f>IF(C41="","","AST-"&amp;TEXT(ROW()-5,"0000"))</x:f>
      </x:c>
      <x:c r="C41" s="37"/>
      <x:c r="D41" s="37"/>
      <x:c r="E41" s="37"/>
      <x:c r="F41" s="37"/>
      <x:c r="G41" s="42"/>
      <x:c r="H41" s="44"/>
      <x:c r="I41" s="37"/>
      <x:c r="J41" s="37"/>
      <x:c r="K41" s="42"/>
      <x:c r="L41" s="37"/>
      <x:c r="M41" s="80" t="str">
        <x:f>IF(OR(K41="",L41=""),"",K41+L41)</x:f>
      </x:c>
      <x:c r="N41" s="37"/>
      <x:c r="O41" s="42"/>
      <x:c r="P41" s="37"/>
      <x:c r="Q41" s="37"/>
    </x:row>
    <x:row r="42">
      <x:c r="A42" s="37"/>
      <x:c r="B42" s="59" t="str">
        <x:f>IF(C42="","","AST-"&amp;TEXT(ROW()-5,"0000"))</x:f>
      </x:c>
      <x:c r="C42" s="37"/>
      <x:c r="D42" s="37"/>
      <x:c r="E42" s="37"/>
      <x:c r="F42" s="37"/>
      <x:c r="G42" s="42"/>
      <x:c r="H42" s="44"/>
      <x:c r="I42" s="37"/>
      <x:c r="J42" s="37"/>
      <x:c r="K42" s="42"/>
      <x:c r="L42" s="37"/>
      <x:c r="M42" s="80" t="str">
        <x:f>IF(OR(K42="",L42=""),"",K42+L42)</x:f>
      </x:c>
      <x:c r="N42" s="37"/>
      <x:c r="O42" s="42"/>
      <x:c r="P42" s="37"/>
      <x:c r="Q42" s="37"/>
    </x:row>
    <x:row r="43">
      <x:c r="A43" s="37"/>
      <x:c r="B43" s="59" t="str">
        <x:f>IF(C43="","","AST-"&amp;TEXT(ROW()-5,"0000"))</x:f>
      </x:c>
      <x:c r="C43" s="37"/>
      <x:c r="D43" s="37"/>
      <x:c r="E43" s="37"/>
      <x:c r="F43" s="37"/>
      <x:c r="G43" s="42"/>
      <x:c r="H43" s="44"/>
      <x:c r="I43" s="37"/>
      <x:c r="J43" s="37"/>
      <x:c r="K43" s="42"/>
      <x:c r="L43" s="37"/>
      <x:c r="M43" s="80" t="str">
        <x:f>IF(OR(K43="",L43=""),"",K43+L43)</x:f>
      </x:c>
      <x:c r="N43" s="37"/>
      <x:c r="O43" s="42"/>
      <x:c r="P43" s="37"/>
      <x:c r="Q43" s="37"/>
    </x:row>
    <x:row r="44">
      <x:c r="A44" s="37"/>
      <x:c r="B44" s="59" t="str">
        <x:f>IF(C44="","","AST-"&amp;TEXT(ROW()-5,"0000"))</x:f>
      </x:c>
      <x:c r="C44" s="37"/>
      <x:c r="D44" s="37"/>
      <x:c r="E44" s="37"/>
      <x:c r="F44" s="37"/>
      <x:c r="G44" s="42"/>
      <x:c r="H44" s="44"/>
      <x:c r="I44" s="37"/>
      <x:c r="J44" s="37"/>
      <x:c r="K44" s="42"/>
      <x:c r="L44" s="37"/>
      <x:c r="M44" s="80" t="str">
        <x:f>IF(OR(K44="",L44=""),"",K44+L44)</x:f>
      </x:c>
      <x:c r="N44" s="37"/>
      <x:c r="O44" s="42"/>
      <x:c r="P44" s="37"/>
      <x:c r="Q44" s="37"/>
    </x:row>
    <x:row r="45">
      <x:c r="A45" s="37"/>
      <x:c r="B45" s="59" t="str">
        <x:f>IF(C45="","","AST-"&amp;TEXT(ROW()-5,"0000"))</x:f>
      </x:c>
      <x:c r="C45" s="37"/>
      <x:c r="D45" s="37"/>
      <x:c r="E45" s="37"/>
      <x:c r="F45" s="37"/>
      <x:c r="G45" s="42"/>
      <x:c r="H45" s="44"/>
      <x:c r="I45" s="37"/>
      <x:c r="J45" s="37"/>
      <x:c r="K45" s="42"/>
      <x:c r="L45" s="37"/>
      <x:c r="M45" s="80" t="str">
        <x:f>IF(OR(K45="",L45=""),"",K45+L45)</x:f>
      </x:c>
      <x:c r="N45" s="37"/>
      <x:c r="O45" s="42"/>
      <x:c r="P45" s="37"/>
      <x:c r="Q45" s="37"/>
    </x:row>
    <x:row r="46">
      <x:c r="A46" s="37"/>
      <x:c r="B46" s="59" t="str">
        <x:f>IF(C46="","","AST-"&amp;TEXT(ROW()-5,"0000"))</x:f>
      </x:c>
      <x:c r="C46" s="37"/>
      <x:c r="D46" s="37"/>
      <x:c r="E46" s="37"/>
      <x:c r="F46" s="37"/>
      <x:c r="G46" s="42"/>
      <x:c r="H46" s="44"/>
      <x:c r="I46" s="37"/>
      <x:c r="J46" s="37"/>
      <x:c r="K46" s="42"/>
      <x:c r="L46" s="37"/>
      <x:c r="M46" s="80" t="str">
        <x:f>IF(OR(K46="",L46=""),"",K46+L46)</x:f>
      </x:c>
      <x:c r="N46" s="37"/>
      <x:c r="O46" s="42"/>
      <x:c r="P46" s="37"/>
      <x:c r="Q46" s="37"/>
    </x:row>
    <x:row r="47">
      <x:c r="A47" s="37"/>
      <x:c r="B47" s="59" t="str">
        <x:f>IF(C47="","","AST-"&amp;TEXT(ROW()-5,"0000"))</x:f>
      </x:c>
      <x:c r="C47" s="37"/>
      <x:c r="D47" s="37"/>
      <x:c r="E47" s="37"/>
      <x:c r="F47" s="37"/>
      <x:c r="G47" s="42"/>
      <x:c r="H47" s="44"/>
      <x:c r="I47" s="37"/>
      <x:c r="J47" s="37"/>
      <x:c r="K47" s="42"/>
      <x:c r="L47" s="37"/>
      <x:c r="M47" s="80" t="str">
        <x:f>IF(OR(K47="",L47=""),"",K47+L47)</x:f>
      </x:c>
      <x:c r="N47" s="37"/>
      <x:c r="O47" s="42"/>
      <x:c r="P47" s="37"/>
      <x:c r="Q47" s="37"/>
    </x:row>
    <x:row r="48">
      <x:c r="A48" s="37"/>
      <x:c r="B48" s="59" t="str">
        <x:f>IF(C48="","","AST-"&amp;TEXT(ROW()-5,"0000"))</x:f>
      </x:c>
      <x:c r="C48" s="37"/>
      <x:c r="D48" s="37"/>
      <x:c r="E48" s="37"/>
      <x:c r="F48" s="37"/>
      <x:c r="G48" s="42"/>
      <x:c r="H48" s="44"/>
      <x:c r="I48" s="37"/>
      <x:c r="J48" s="37"/>
      <x:c r="K48" s="42"/>
      <x:c r="L48" s="37"/>
      <x:c r="M48" s="80" t="str">
        <x:f>IF(OR(K48="",L48=""),"",K48+L48)</x:f>
      </x:c>
      <x:c r="N48" s="37"/>
      <x:c r="O48" s="42"/>
      <x:c r="P48" s="37"/>
      <x:c r="Q48" s="37"/>
    </x:row>
    <x:row r="49">
      <x:c r="A49" s="37"/>
      <x:c r="B49" s="59" t="str">
        <x:f>IF(C49="","","AST-"&amp;TEXT(ROW()-5,"0000"))</x:f>
      </x:c>
      <x:c r="C49" s="37"/>
      <x:c r="D49" s="37"/>
      <x:c r="E49" s="37"/>
      <x:c r="F49" s="37"/>
      <x:c r="G49" s="42"/>
      <x:c r="H49" s="44"/>
      <x:c r="I49" s="37"/>
      <x:c r="J49" s="37"/>
      <x:c r="K49" s="42"/>
      <x:c r="L49" s="37"/>
      <x:c r="M49" s="80" t="str">
        <x:f>IF(OR(K49="",L49=""),"",K49+L49)</x:f>
      </x:c>
      <x:c r="N49" s="37"/>
      <x:c r="O49" s="42"/>
      <x:c r="P49" s="37"/>
      <x:c r="Q49" s="37"/>
    </x:row>
    <x:row r="50">
      <x:c r="A50" s="37"/>
      <x:c r="B50" s="59" t="str">
        <x:f>IF(C50="","","AST-"&amp;TEXT(ROW()-5,"0000"))</x:f>
      </x:c>
      <x:c r="C50" s="37"/>
      <x:c r="D50" s="37"/>
      <x:c r="E50" s="37"/>
      <x:c r="F50" s="37"/>
      <x:c r="G50" s="42"/>
      <x:c r="H50" s="44"/>
      <x:c r="I50" s="37"/>
      <x:c r="J50" s="37"/>
      <x:c r="K50" s="42"/>
      <x:c r="L50" s="37"/>
      <x:c r="M50" s="80" t="str">
        <x:f>IF(OR(K50="",L50=""),"",K50+L50)</x:f>
      </x:c>
      <x:c r="N50" s="37"/>
      <x:c r="O50" s="42"/>
      <x:c r="P50" s="37"/>
      <x:c r="Q50" s="37"/>
    </x:row>
    <x:row r="51">
      <x:c r="A51" s="37"/>
      <x:c r="B51" s="59" t="str">
        <x:f>IF(C51="","","AST-"&amp;TEXT(ROW()-5,"0000"))</x:f>
      </x:c>
      <x:c r="C51" s="37"/>
      <x:c r="D51" s="37"/>
      <x:c r="E51" s="37"/>
      <x:c r="F51" s="37"/>
      <x:c r="G51" s="42"/>
      <x:c r="H51" s="44"/>
      <x:c r="I51" s="37"/>
      <x:c r="J51" s="37"/>
      <x:c r="K51" s="42"/>
      <x:c r="L51" s="37"/>
      <x:c r="M51" s="80" t="str">
        <x:f>IF(OR(K51="",L51=""),"",K51+L51)</x:f>
      </x:c>
      <x:c r="N51" s="37"/>
      <x:c r="O51" s="42"/>
      <x:c r="P51" s="37"/>
      <x:c r="Q51" s="37"/>
    </x:row>
    <x:row r="52">
      <x:c r="A52" s="37"/>
      <x:c r="B52" s="59" t="str">
        <x:f>IF(C52="","","AST-"&amp;TEXT(ROW()-5,"0000"))</x:f>
      </x:c>
      <x:c r="C52" s="37"/>
      <x:c r="D52" s="37"/>
      <x:c r="E52" s="37"/>
      <x:c r="F52" s="37"/>
      <x:c r="G52" s="42"/>
      <x:c r="H52" s="44"/>
      <x:c r="I52" s="37"/>
      <x:c r="J52" s="37"/>
      <x:c r="K52" s="42"/>
      <x:c r="L52" s="37"/>
      <x:c r="M52" s="80" t="str">
        <x:f>IF(OR(K52="",L52=""),"",K52+L52)</x:f>
      </x:c>
      <x:c r="N52" s="37"/>
      <x:c r="O52" s="42"/>
      <x:c r="P52" s="37"/>
      <x:c r="Q52" s="37"/>
    </x:row>
    <x:row r="53">
      <x:c r="A53" s="37"/>
      <x:c r="B53" s="59" t="str">
        <x:f>IF(C53="","","AST-"&amp;TEXT(ROW()-5,"0000"))</x:f>
      </x:c>
      <x:c r="C53" s="37"/>
      <x:c r="D53" s="37"/>
      <x:c r="E53" s="37"/>
      <x:c r="F53" s="37"/>
      <x:c r="G53" s="42"/>
      <x:c r="H53" s="44"/>
      <x:c r="I53" s="37"/>
      <x:c r="J53" s="37"/>
      <x:c r="K53" s="42"/>
      <x:c r="L53" s="37"/>
      <x:c r="M53" s="80" t="str">
        <x:f>IF(OR(K53="",L53=""),"",K53+L53)</x:f>
      </x:c>
      <x:c r="N53" s="37"/>
      <x:c r="O53" s="42"/>
      <x:c r="P53" s="37"/>
      <x:c r="Q53" s="37"/>
    </x:row>
    <x:row r="54">
      <x:c r="A54" s="37"/>
      <x:c r="B54" s="59" t="str">
        <x:f>IF(C54="","","AST-"&amp;TEXT(ROW()-5,"0000"))</x:f>
      </x:c>
      <x:c r="C54" s="37"/>
      <x:c r="D54" s="37"/>
      <x:c r="E54" s="37"/>
      <x:c r="F54" s="37"/>
      <x:c r="G54" s="42"/>
      <x:c r="H54" s="44"/>
      <x:c r="I54" s="37"/>
      <x:c r="J54" s="37"/>
      <x:c r="K54" s="42"/>
      <x:c r="L54" s="37"/>
      <x:c r="M54" s="80" t="str">
        <x:f>IF(OR(K54="",L54=""),"",K54+L54)</x:f>
      </x:c>
      <x:c r="N54" s="37"/>
      <x:c r="O54" s="42"/>
      <x:c r="P54" s="37"/>
      <x:c r="Q54" s="37"/>
    </x:row>
    <x:row r="55">
      <x:c r="A55" s="37"/>
      <x:c r="B55" s="59" t="str">
        <x:f>IF(C55="","","AST-"&amp;TEXT(ROW()-5,"0000"))</x:f>
      </x:c>
      <x:c r="C55" s="37"/>
      <x:c r="D55" s="37"/>
      <x:c r="E55" s="37"/>
      <x:c r="F55" s="37"/>
      <x:c r="G55" s="42"/>
      <x:c r="H55" s="44"/>
      <x:c r="I55" s="37"/>
      <x:c r="J55" s="37"/>
      <x:c r="K55" s="42"/>
      <x:c r="L55" s="37"/>
      <x:c r="M55" s="80" t="str">
        <x:f>IF(OR(K55="",L55=""),"",K55+L55)</x:f>
      </x:c>
      <x:c r="N55" s="37"/>
      <x:c r="O55" s="42"/>
      <x:c r="P55" s="37"/>
      <x:c r="Q55" s="37"/>
    </x:row>
    <x:row r="56">
      <x:c r="A56" s="37"/>
      <x:c r="B56" s="59" t="str">
        <x:f>IF(C56="","","AST-"&amp;TEXT(ROW()-5,"0000"))</x:f>
      </x:c>
      <x:c r="C56" s="37"/>
      <x:c r="D56" s="37"/>
      <x:c r="E56" s="37"/>
      <x:c r="F56" s="37"/>
      <x:c r="G56" s="42"/>
      <x:c r="H56" s="44"/>
      <x:c r="I56" s="37"/>
      <x:c r="J56" s="37"/>
      <x:c r="K56" s="42"/>
      <x:c r="L56" s="37"/>
      <x:c r="M56" s="80" t="str">
        <x:f>IF(OR(K56="",L56=""),"",K56+L56)</x:f>
      </x:c>
      <x:c r="N56" s="37"/>
      <x:c r="O56" s="42"/>
      <x:c r="P56" s="37"/>
      <x:c r="Q56" s="37"/>
    </x:row>
    <x:row r="57">
      <x:c r="A57" s="37"/>
      <x:c r="B57" s="59" t="str">
        <x:f>IF(C57="","","AST-"&amp;TEXT(ROW()-5,"0000"))</x:f>
      </x:c>
      <x:c r="C57" s="37"/>
      <x:c r="D57" s="37"/>
      <x:c r="E57" s="37"/>
      <x:c r="F57" s="37"/>
      <x:c r="G57" s="42"/>
      <x:c r="H57" s="44"/>
      <x:c r="I57" s="37"/>
      <x:c r="J57" s="37"/>
      <x:c r="K57" s="42"/>
      <x:c r="L57" s="37"/>
      <x:c r="M57" s="80" t="str">
        <x:f>IF(OR(K57="",L57=""),"",K57+L57)</x:f>
      </x:c>
      <x:c r="N57" s="37"/>
      <x:c r="O57" s="42"/>
      <x:c r="P57" s="37"/>
      <x:c r="Q57" s="37"/>
    </x:row>
    <x:row r="58">
      <x:c r="A58" s="37"/>
      <x:c r="B58" s="59" t="str">
        <x:f>IF(C58="","","AST-"&amp;TEXT(ROW()-5,"0000"))</x:f>
      </x:c>
      <x:c r="C58" s="37"/>
      <x:c r="D58" s="37"/>
      <x:c r="E58" s="37"/>
      <x:c r="F58" s="37"/>
      <x:c r="G58" s="42"/>
      <x:c r="H58" s="44"/>
      <x:c r="I58" s="37"/>
      <x:c r="J58" s="37"/>
      <x:c r="K58" s="42"/>
      <x:c r="L58" s="37"/>
      <x:c r="M58" s="80" t="str">
        <x:f>IF(OR(K58="",L58=""),"",K58+L58)</x:f>
      </x:c>
      <x:c r="N58" s="37"/>
      <x:c r="O58" s="42"/>
      <x:c r="P58" s="37"/>
      <x:c r="Q58" s="37"/>
    </x:row>
    <x:row r="59">
      <x:c r="A59" s="37"/>
      <x:c r="B59" s="59" t="str">
        <x:f>IF(C59="","","AST-"&amp;TEXT(ROW()-5,"0000"))</x:f>
      </x:c>
      <x:c r="C59" s="37"/>
      <x:c r="D59" s="37"/>
      <x:c r="E59" s="37"/>
      <x:c r="F59" s="37"/>
      <x:c r="G59" s="42"/>
      <x:c r="H59" s="44"/>
      <x:c r="I59" s="37"/>
      <x:c r="J59" s="37"/>
      <x:c r="K59" s="42"/>
      <x:c r="L59" s="37"/>
      <x:c r="M59" s="80" t="str">
        <x:f>IF(OR(K59="",L59=""),"",K59+L59)</x:f>
      </x:c>
      <x:c r="N59" s="37"/>
      <x:c r="O59" s="42"/>
      <x:c r="P59" s="37"/>
      <x:c r="Q59" s="37"/>
    </x:row>
    <x:row r="60">
      <x:c r="A60" s="37"/>
      <x:c r="B60" s="59" t="str">
        <x:f>IF(C60="","","AST-"&amp;TEXT(ROW()-5,"0000"))</x:f>
      </x:c>
      <x:c r="C60" s="37"/>
      <x:c r="D60" s="37"/>
      <x:c r="E60" s="37"/>
      <x:c r="F60" s="37"/>
      <x:c r="G60" s="42"/>
      <x:c r="H60" s="44"/>
      <x:c r="I60" s="37"/>
      <x:c r="J60" s="37"/>
      <x:c r="K60" s="42"/>
      <x:c r="L60" s="37"/>
      <x:c r="M60" s="80" t="str">
        <x:f>IF(OR(K60="",L60=""),"",K60+L60)</x:f>
      </x:c>
      <x:c r="N60" s="37"/>
      <x:c r="O60" s="42"/>
      <x:c r="P60" s="37"/>
      <x:c r="Q60" s="37"/>
    </x:row>
    <x:row r="61">
      <x:c r="A61" s="37"/>
      <x:c r="B61" s="59" t="str">
        <x:f>IF(C61="","","AST-"&amp;TEXT(ROW()-5,"0000"))</x:f>
      </x:c>
      <x:c r="C61" s="37"/>
      <x:c r="D61" s="37"/>
      <x:c r="E61" s="37"/>
      <x:c r="F61" s="37"/>
      <x:c r="G61" s="42"/>
      <x:c r="H61" s="44"/>
      <x:c r="I61" s="37"/>
      <x:c r="J61" s="37"/>
      <x:c r="K61" s="42"/>
      <x:c r="L61" s="37"/>
      <x:c r="M61" s="80" t="str">
        <x:f>IF(OR(K61="",L61=""),"",K61+L61)</x:f>
      </x:c>
      <x:c r="N61" s="37"/>
      <x:c r="O61" s="42"/>
      <x:c r="P61" s="37"/>
      <x:c r="Q61" s="37"/>
    </x:row>
    <x:row r="62">
      <x:c r="A62" s="37"/>
      <x:c r="B62" s="59" t="str">
        <x:f>IF(C62="","","AST-"&amp;TEXT(ROW()-5,"0000"))</x:f>
      </x:c>
      <x:c r="C62" s="37"/>
      <x:c r="D62" s="37"/>
      <x:c r="E62" s="37"/>
      <x:c r="F62" s="37"/>
      <x:c r="G62" s="42"/>
      <x:c r="H62" s="44"/>
      <x:c r="I62" s="37"/>
      <x:c r="J62" s="37"/>
      <x:c r="K62" s="42"/>
      <x:c r="L62" s="37"/>
      <x:c r="M62" s="80" t="str">
        <x:f>IF(OR(K62="",L62=""),"",K62+L62)</x:f>
      </x:c>
      <x:c r="N62" s="37"/>
      <x:c r="O62" s="42"/>
      <x:c r="P62" s="37"/>
      <x:c r="Q62" s="37"/>
    </x:row>
    <x:row r="63">
      <x:c r="A63" s="37"/>
      <x:c r="B63" s="59" t="str">
        <x:f>IF(C63="","","AST-"&amp;TEXT(ROW()-5,"0000"))</x:f>
      </x:c>
      <x:c r="C63" s="37"/>
      <x:c r="D63" s="37"/>
      <x:c r="E63" s="37"/>
      <x:c r="F63" s="37"/>
      <x:c r="G63" s="42"/>
      <x:c r="H63" s="44"/>
      <x:c r="I63" s="37"/>
      <x:c r="J63" s="37"/>
      <x:c r="K63" s="42"/>
      <x:c r="L63" s="37"/>
      <x:c r="M63" s="80" t="str">
        <x:f>IF(OR(K63="",L63=""),"",K63+L63)</x:f>
      </x:c>
      <x:c r="N63" s="37"/>
      <x:c r="O63" s="42"/>
      <x:c r="P63" s="37"/>
      <x:c r="Q63" s="37"/>
    </x:row>
    <x:row r="64">
      <x:c r="A64" s="37"/>
      <x:c r="B64" s="59" t="str">
        <x:f>IF(C64="","","AST-"&amp;TEXT(ROW()-5,"0000"))</x:f>
      </x:c>
      <x:c r="C64" s="37"/>
      <x:c r="D64" s="37"/>
      <x:c r="E64" s="37"/>
      <x:c r="F64" s="37"/>
      <x:c r="G64" s="42"/>
      <x:c r="H64" s="44"/>
      <x:c r="I64" s="37"/>
      <x:c r="J64" s="37"/>
      <x:c r="K64" s="42"/>
      <x:c r="L64" s="37"/>
      <x:c r="M64" s="80" t="str">
        <x:f>IF(OR(K64="",L64=""),"",K64+L64)</x:f>
      </x:c>
      <x:c r="N64" s="37"/>
      <x:c r="O64" s="42"/>
      <x:c r="P64" s="37"/>
      <x:c r="Q64" s="37"/>
    </x:row>
    <x:row r="65">
      <x:c r="A65" s="37"/>
      <x:c r="B65" s="59" t="str">
        <x:f>IF(C65="","","AST-"&amp;TEXT(ROW()-5,"0000"))</x:f>
      </x:c>
      <x:c r="C65" s="37"/>
      <x:c r="D65" s="37"/>
      <x:c r="E65" s="37"/>
      <x:c r="F65" s="37"/>
      <x:c r="G65" s="42"/>
      <x:c r="H65" s="44"/>
      <x:c r="I65" s="37"/>
      <x:c r="J65" s="37"/>
      <x:c r="K65" s="42"/>
      <x:c r="L65" s="37"/>
      <x:c r="M65" s="80" t="str">
        <x:f>IF(OR(K65="",L65=""),"",K65+L65)</x:f>
      </x:c>
      <x:c r="N65" s="37"/>
      <x:c r="O65" s="42"/>
      <x:c r="P65" s="37"/>
      <x:c r="Q65" s="37"/>
    </x:row>
    <x:row r="66">
      <x:c r="A66" s="37"/>
      <x:c r="B66" s="59" t="str">
        <x:f>IF(C66="","","AST-"&amp;TEXT(ROW()-5,"0000"))</x:f>
      </x:c>
      <x:c r="C66" s="37"/>
      <x:c r="D66" s="37"/>
      <x:c r="E66" s="37"/>
      <x:c r="F66" s="37"/>
      <x:c r="G66" s="42"/>
      <x:c r="H66" s="44"/>
      <x:c r="I66" s="37"/>
      <x:c r="J66" s="37"/>
      <x:c r="K66" s="42"/>
      <x:c r="L66" s="37"/>
      <x:c r="M66" s="80" t="str">
        <x:f>IF(OR(K66="",L66=""),"",K66+L66)</x:f>
      </x:c>
      <x:c r="N66" s="37"/>
      <x:c r="O66" s="42"/>
      <x:c r="P66" s="37"/>
      <x:c r="Q66" s="37"/>
    </x:row>
    <x:row r="67">
      <x:c r="A67" s="37"/>
      <x:c r="B67" s="59" t="str">
        <x:f>IF(C67="","","AST-"&amp;TEXT(ROW()-5,"0000"))</x:f>
      </x:c>
      <x:c r="C67" s="37"/>
      <x:c r="D67" s="37"/>
      <x:c r="E67" s="37"/>
      <x:c r="F67" s="37"/>
      <x:c r="G67" s="42"/>
      <x:c r="H67" s="44"/>
      <x:c r="I67" s="37"/>
      <x:c r="J67" s="37"/>
      <x:c r="K67" s="42"/>
      <x:c r="L67" s="37"/>
      <x:c r="M67" s="80" t="str">
        <x:f>IF(OR(K67="",L67=""),"",K67+L67)</x:f>
      </x:c>
      <x:c r="N67" s="37"/>
      <x:c r="O67" s="42"/>
      <x:c r="P67" s="37"/>
      <x:c r="Q67" s="37"/>
    </x:row>
    <x:row r="68">
      <x:c r="A68" s="37"/>
      <x:c r="B68" s="59" t="str">
        <x:f>IF(C68="","","AST-"&amp;TEXT(ROW()-5,"0000"))</x:f>
      </x:c>
      <x:c r="C68" s="37"/>
      <x:c r="D68" s="37"/>
      <x:c r="E68" s="37"/>
      <x:c r="F68" s="37"/>
      <x:c r="G68" s="42"/>
      <x:c r="H68" s="44"/>
      <x:c r="I68" s="37"/>
      <x:c r="J68" s="37"/>
      <x:c r="K68" s="42"/>
      <x:c r="L68" s="37"/>
      <x:c r="M68" s="80" t="str">
        <x:f>IF(OR(K68="",L68=""),"",K68+L68)</x:f>
      </x:c>
      <x:c r="N68" s="37"/>
      <x:c r="O68" s="42"/>
      <x:c r="P68" s="37"/>
      <x:c r="Q68" s="37"/>
    </x:row>
    <x:row r="69">
      <x:c r="A69" s="37"/>
      <x:c r="B69" s="59" t="str">
        <x:f>IF(C69="","","AST-"&amp;TEXT(ROW()-5,"0000"))</x:f>
      </x:c>
      <x:c r="C69" s="37"/>
      <x:c r="D69" s="37"/>
      <x:c r="E69" s="37"/>
      <x:c r="F69" s="37"/>
      <x:c r="G69" s="42"/>
      <x:c r="H69" s="44"/>
      <x:c r="I69" s="37"/>
      <x:c r="J69" s="37"/>
      <x:c r="K69" s="42"/>
      <x:c r="L69" s="37"/>
      <x:c r="M69" s="80" t="str">
        <x:f>IF(OR(K69="",L69=""),"",K69+L69)</x:f>
      </x:c>
      <x:c r="N69" s="37"/>
      <x:c r="O69" s="42"/>
      <x:c r="P69" s="37"/>
      <x:c r="Q69" s="37"/>
    </x:row>
    <x:row r="70">
      <x:c r="A70" s="37"/>
      <x:c r="B70" s="59" t="str">
        <x:f>IF(C70="","","AST-"&amp;TEXT(ROW()-5,"0000"))</x:f>
      </x:c>
      <x:c r="C70" s="37"/>
      <x:c r="D70" s="37"/>
      <x:c r="E70" s="37"/>
      <x:c r="F70" s="37"/>
      <x:c r="G70" s="42"/>
      <x:c r="H70" s="44"/>
      <x:c r="I70" s="37"/>
      <x:c r="J70" s="37"/>
      <x:c r="K70" s="42"/>
      <x:c r="L70" s="37"/>
      <x:c r="M70" s="80" t="str">
        <x:f>IF(OR(K70="",L70=""),"",K70+L70)</x:f>
      </x:c>
      <x:c r="N70" s="37"/>
      <x:c r="O70" s="42"/>
      <x:c r="P70" s="37"/>
      <x:c r="Q70" s="37"/>
    </x:row>
    <x:row r="71">
      <x:c r="A71" s="37"/>
      <x:c r="B71" s="59" t="str">
        <x:f>IF(C71="","","AST-"&amp;TEXT(ROW()-5,"0000"))</x:f>
      </x:c>
      <x:c r="C71" s="37"/>
      <x:c r="D71" s="37"/>
      <x:c r="E71" s="37"/>
      <x:c r="F71" s="37"/>
      <x:c r="G71" s="42"/>
      <x:c r="H71" s="44"/>
      <x:c r="I71" s="37"/>
      <x:c r="J71" s="37"/>
      <x:c r="K71" s="42"/>
      <x:c r="L71" s="37"/>
      <x:c r="M71" s="80" t="str">
        <x:f>IF(OR(K71="",L71=""),"",K71+L71)</x:f>
      </x:c>
      <x:c r="N71" s="37"/>
      <x:c r="O71" s="42"/>
      <x:c r="P71" s="37"/>
      <x:c r="Q71" s="37"/>
    </x:row>
    <x:row r="72">
      <x:c r="A72" s="37"/>
      <x:c r="B72" s="59" t="str">
        <x:f>IF(C72="","","AST-"&amp;TEXT(ROW()-5,"0000"))</x:f>
      </x:c>
      <x:c r="C72" s="37"/>
      <x:c r="D72" s="37"/>
      <x:c r="E72" s="37"/>
      <x:c r="F72" s="37"/>
      <x:c r="G72" s="42"/>
      <x:c r="H72" s="44"/>
      <x:c r="I72" s="37"/>
      <x:c r="J72" s="37"/>
      <x:c r="K72" s="42"/>
      <x:c r="L72" s="37"/>
      <x:c r="M72" s="80" t="str">
        <x:f>IF(OR(K72="",L72=""),"",K72+L72)</x:f>
      </x:c>
      <x:c r="N72" s="37"/>
      <x:c r="O72" s="42"/>
      <x:c r="P72" s="37"/>
      <x:c r="Q72" s="37"/>
    </x:row>
    <x:row r="73">
      <x:c r="A73" s="37"/>
      <x:c r="B73" s="59" t="str">
        <x:f>IF(C73="","","AST-"&amp;TEXT(ROW()-5,"0000"))</x:f>
      </x:c>
      <x:c r="C73" s="37"/>
      <x:c r="D73" s="37"/>
      <x:c r="E73" s="37"/>
      <x:c r="F73" s="37"/>
      <x:c r="G73" s="42"/>
      <x:c r="H73" s="44"/>
      <x:c r="I73" s="37"/>
      <x:c r="J73" s="37"/>
      <x:c r="K73" s="42"/>
      <x:c r="L73" s="37"/>
      <x:c r="M73" s="80" t="str">
        <x:f>IF(OR(K73="",L73=""),"",K73+L73)</x:f>
      </x:c>
      <x:c r="N73" s="37"/>
      <x:c r="O73" s="42"/>
      <x:c r="P73" s="37"/>
      <x:c r="Q73" s="37"/>
    </x:row>
    <x:row r="74">
      <x:c r="A74" s="37"/>
      <x:c r="B74" s="59" t="str">
        <x:f>IF(C74="","","AST-"&amp;TEXT(ROW()-5,"0000"))</x:f>
      </x:c>
      <x:c r="C74" s="37"/>
      <x:c r="D74" s="37"/>
      <x:c r="E74" s="37"/>
      <x:c r="F74" s="37"/>
      <x:c r="G74" s="42"/>
      <x:c r="H74" s="44"/>
      <x:c r="I74" s="37"/>
      <x:c r="J74" s="37"/>
      <x:c r="K74" s="42"/>
      <x:c r="L74" s="37"/>
      <x:c r="M74" s="80" t="str">
        <x:f>IF(OR(K74="",L74=""),"",K74+L74)</x:f>
      </x:c>
      <x:c r="N74" s="37"/>
      <x:c r="O74" s="42"/>
      <x:c r="P74" s="37"/>
      <x:c r="Q74" s="37"/>
    </x:row>
    <x:row r="75">
      <x:c r="A75" s="37"/>
      <x:c r="B75" s="59" t="str">
        <x:f>IF(C75="","","AST-"&amp;TEXT(ROW()-5,"0000"))</x:f>
      </x:c>
      <x:c r="C75" s="37"/>
      <x:c r="D75" s="37"/>
      <x:c r="E75" s="37"/>
      <x:c r="F75" s="37"/>
      <x:c r="G75" s="42"/>
      <x:c r="H75" s="44"/>
      <x:c r="I75" s="37"/>
      <x:c r="J75" s="37"/>
      <x:c r="K75" s="42"/>
      <x:c r="L75" s="37"/>
      <x:c r="M75" s="80" t="str">
        <x:f>IF(OR(K75="",L75=""),"",K75+L75)</x:f>
      </x:c>
      <x:c r="N75" s="37"/>
      <x:c r="O75" s="42"/>
      <x:c r="P75" s="37"/>
      <x:c r="Q75" s="37"/>
    </x:row>
    <x:row r="76">
      <x:c r="A76" s="37"/>
      <x:c r="B76" s="59" t="str">
        <x:f>IF(C76="","","AST-"&amp;TEXT(ROW()-5,"0000"))</x:f>
      </x:c>
      <x:c r="C76" s="37"/>
      <x:c r="D76" s="37"/>
      <x:c r="E76" s="37"/>
      <x:c r="F76" s="37"/>
      <x:c r="G76" s="42"/>
      <x:c r="H76" s="44"/>
      <x:c r="I76" s="37"/>
      <x:c r="J76" s="37"/>
      <x:c r="K76" s="42"/>
      <x:c r="L76" s="37"/>
      <x:c r="M76" s="80" t="str">
        <x:f>IF(OR(K76="",L76=""),"",K76+L76)</x:f>
      </x:c>
      <x:c r="N76" s="37"/>
      <x:c r="O76" s="42"/>
      <x:c r="P76" s="37"/>
      <x:c r="Q76" s="37"/>
    </x:row>
    <x:row r="77">
      <x:c r="A77" s="37"/>
      <x:c r="B77" s="59" t="str">
        <x:f>IF(C77="","","AST-"&amp;TEXT(ROW()-5,"0000"))</x:f>
      </x:c>
      <x:c r="C77" s="37"/>
      <x:c r="D77" s="37"/>
      <x:c r="E77" s="37"/>
      <x:c r="F77" s="37"/>
      <x:c r="G77" s="42"/>
      <x:c r="H77" s="44"/>
      <x:c r="I77" s="37"/>
      <x:c r="J77" s="37"/>
      <x:c r="K77" s="42"/>
      <x:c r="L77" s="37"/>
      <x:c r="M77" s="80" t="str">
        <x:f>IF(OR(K77="",L77=""),"",K77+L77)</x:f>
      </x:c>
      <x:c r="N77" s="37"/>
      <x:c r="O77" s="42"/>
      <x:c r="P77" s="37"/>
      <x:c r="Q77" s="37"/>
    </x:row>
    <x:row r="78">
      <x:c r="A78" s="37"/>
      <x:c r="B78" s="59" t="str">
        <x:f>IF(C78="","","AST-"&amp;TEXT(ROW()-5,"0000"))</x:f>
      </x:c>
      <x:c r="C78" s="37"/>
      <x:c r="D78" s="37"/>
      <x:c r="E78" s="37"/>
      <x:c r="F78" s="37"/>
      <x:c r="G78" s="42"/>
      <x:c r="H78" s="44"/>
      <x:c r="I78" s="37"/>
      <x:c r="J78" s="37"/>
      <x:c r="K78" s="42"/>
      <x:c r="L78" s="37"/>
      <x:c r="M78" s="80" t="str">
        <x:f>IF(OR(K78="",L78=""),"",K78+L78)</x:f>
      </x:c>
      <x:c r="N78" s="37"/>
      <x:c r="O78" s="42"/>
      <x:c r="P78" s="37"/>
      <x:c r="Q78" s="37"/>
    </x:row>
    <x:row r="79">
      <x:c r="A79" s="37"/>
      <x:c r="B79" s="59" t="str">
        <x:f>IF(C79="","","AST-"&amp;TEXT(ROW()-5,"0000"))</x:f>
      </x:c>
      <x:c r="C79" s="37"/>
      <x:c r="D79" s="37"/>
      <x:c r="E79" s="37"/>
      <x:c r="F79" s="37"/>
      <x:c r="G79" s="42"/>
      <x:c r="H79" s="44"/>
      <x:c r="I79" s="37"/>
      <x:c r="J79" s="37"/>
      <x:c r="K79" s="42"/>
      <x:c r="L79" s="37"/>
      <x:c r="M79" s="80" t="str">
        <x:f>IF(OR(K79="",L79=""),"",K79+L79)</x:f>
      </x:c>
      <x:c r="N79" s="37"/>
      <x:c r="O79" s="42"/>
      <x:c r="P79" s="37"/>
      <x:c r="Q79" s="37"/>
    </x:row>
    <x:row r="80">
      <x:c r="A80" s="37"/>
      <x:c r="B80" s="59" t="str">
        <x:f>IF(C80="","","AST-"&amp;TEXT(ROW()-5,"0000"))</x:f>
      </x:c>
      <x:c r="C80" s="37"/>
      <x:c r="D80" s="37"/>
      <x:c r="E80" s="37"/>
      <x:c r="F80" s="37"/>
      <x:c r="G80" s="42"/>
      <x:c r="H80" s="44"/>
      <x:c r="I80" s="37"/>
      <x:c r="J80" s="37"/>
      <x:c r="K80" s="42"/>
      <x:c r="L80" s="37"/>
      <x:c r="M80" s="80" t="str">
        <x:f>IF(OR(K80="",L80=""),"",K80+L80)</x:f>
      </x:c>
      <x:c r="N80" s="37"/>
      <x:c r="O80" s="42"/>
      <x:c r="P80" s="37"/>
      <x:c r="Q80" s="37"/>
    </x:row>
    <x:row r="81">
      <x:c r="A81" s="37"/>
      <x:c r="B81" s="59" t="str">
        <x:f>IF(C81="","","AST-"&amp;TEXT(ROW()-5,"0000"))</x:f>
      </x:c>
      <x:c r="C81" s="37"/>
      <x:c r="D81" s="37"/>
      <x:c r="E81" s="37"/>
      <x:c r="F81" s="37"/>
      <x:c r="G81" s="42"/>
      <x:c r="H81" s="44"/>
      <x:c r="I81" s="37"/>
      <x:c r="J81" s="37"/>
      <x:c r="K81" s="42"/>
      <x:c r="L81" s="37"/>
      <x:c r="M81" s="80" t="str">
        <x:f>IF(OR(K81="",L81=""),"",K81+L81)</x:f>
      </x:c>
      <x:c r="N81" s="37"/>
      <x:c r="O81" s="42"/>
      <x:c r="P81" s="37"/>
      <x:c r="Q81" s="37"/>
    </x:row>
    <x:row r="82">
      <x:c r="A82" s="37"/>
      <x:c r="B82" s="59" t="str">
        <x:f>IF(C82="","","AST-"&amp;TEXT(ROW()-5,"0000"))</x:f>
      </x:c>
      <x:c r="C82" s="37"/>
      <x:c r="D82" s="37"/>
      <x:c r="E82" s="37"/>
      <x:c r="F82" s="37"/>
      <x:c r="G82" s="42"/>
      <x:c r="H82" s="44"/>
      <x:c r="I82" s="37"/>
      <x:c r="J82" s="37"/>
      <x:c r="K82" s="42"/>
      <x:c r="L82" s="37"/>
      <x:c r="M82" s="80" t="str">
        <x:f>IF(OR(K82="",L82=""),"",K82+L82)</x:f>
      </x:c>
      <x:c r="N82" s="37"/>
      <x:c r="O82" s="42"/>
      <x:c r="P82" s="37"/>
      <x:c r="Q82" s="37"/>
    </x:row>
    <x:row r="83">
      <x:c r="A83" s="37"/>
      <x:c r="B83" s="59" t="str">
        <x:f>IF(C83="","","AST-"&amp;TEXT(ROW()-5,"0000"))</x:f>
      </x:c>
      <x:c r="C83" s="37"/>
      <x:c r="D83" s="37"/>
      <x:c r="E83" s="37"/>
      <x:c r="F83" s="37"/>
      <x:c r="G83" s="42"/>
      <x:c r="H83" s="44"/>
      <x:c r="I83" s="37"/>
      <x:c r="J83" s="37"/>
      <x:c r="K83" s="42"/>
      <x:c r="L83" s="37"/>
      <x:c r="M83" s="80" t="str">
        <x:f>IF(OR(K83="",L83=""),"",K83+L83)</x:f>
      </x:c>
      <x:c r="N83" s="37"/>
      <x:c r="O83" s="42"/>
      <x:c r="P83" s="37"/>
      <x:c r="Q83" s="37"/>
    </x:row>
    <x:row r="84">
      <x:c r="A84" s="37"/>
      <x:c r="B84" s="59" t="str">
        <x:f>IF(C84="","","AST-"&amp;TEXT(ROW()-5,"0000"))</x:f>
      </x:c>
      <x:c r="C84" s="37"/>
      <x:c r="D84" s="37"/>
      <x:c r="E84" s="37"/>
      <x:c r="F84" s="37"/>
      <x:c r="G84" s="42"/>
      <x:c r="H84" s="44"/>
      <x:c r="I84" s="37"/>
      <x:c r="J84" s="37"/>
      <x:c r="K84" s="42"/>
      <x:c r="L84" s="37"/>
      <x:c r="M84" s="80" t="str">
        <x:f>IF(OR(K84="",L84=""),"",K84+L84)</x:f>
      </x:c>
      <x:c r="N84" s="37"/>
      <x:c r="O84" s="42"/>
      <x:c r="P84" s="37"/>
      <x:c r="Q84" s="37"/>
    </x:row>
    <x:row r="85">
      <x:c r="A85" s="37"/>
      <x:c r="B85" s="59" t="str">
        <x:f>IF(C85="","","AST-"&amp;TEXT(ROW()-5,"0000"))</x:f>
      </x:c>
      <x:c r="C85" s="37"/>
      <x:c r="D85" s="37"/>
      <x:c r="E85" s="37"/>
      <x:c r="F85" s="37"/>
      <x:c r="G85" s="42"/>
      <x:c r="H85" s="44"/>
      <x:c r="I85" s="37"/>
      <x:c r="J85" s="37"/>
      <x:c r="K85" s="42"/>
      <x:c r="L85" s="37"/>
      <x:c r="M85" s="80" t="str">
        <x:f>IF(OR(K85="",L85=""),"",K85+L85)</x:f>
      </x:c>
      <x:c r="N85" s="37"/>
      <x:c r="O85" s="42"/>
      <x:c r="P85" s="37"/>
      <x:c r="Q85" s="37"/>
    </x:row>
    <x:row r="86">
      <x:c r="A86" s="37"/>
      <x:c r="B86" s="59" t="str">
        <x:f>IF(C86="","","AST-"&amp;TEXT(ROW()-5,"0000"))</x:f>
      </x:c>
      <x:c r="C86" s="37"/>
      <x:c r="D86" s="37"/>
      <x:c r="E86" s="37"/>
      <x:c r="F86" s="37"/>
      <x:c r="G86" s="42"/>
      <x:c r="H86" s="44"/>
      <x:c r="I86" s="37"/>
      <x:c r="J86" s="37"/>
      <x:c r="K86" s="42"/>
      <x:c r="L86" s="37"/>
      <x:c r="M86" s="80" t="str">
        <x:f>IF(OR(K86="",L86=""),"",K86+L86)</x:f>
      </x:c>
      <x:c r="N86" s="37"/>
      <x:c r="O86" s="42"/>
      <x:c r="P86" s="37"/>
      <x:c r="Q86" s="37"/>
    </x:row>
    <x:row r="87">
      <x:c r="A87" s="37"/>
      <x:c r="B87" s="59" t="str">
        <x:f>IF(C87="","","AST-"&amp;TEXT(ROW()-5,"0000"))</x:f>
      </x:c>
      <x:c r="C87" s="37"/>
      <x:c r="D87" s="37"/>
      <x:c r="E87" s="37"/>
      <x:c r="F87" s="37"/>
      <x:c r="G87" s="42"/>
      <x:c r="H87" s="44"/>
      <x:c r="I87" s="37"/>
      <x:c r="J87" s="37"/>
      <x:c r="K87" s="42"/>
      <x:c r="L87" s="37"/>
      <x:c r="M87" s="80" t="str">
        <x:f>IF(OR(K87="",L87=""),"",K87+L87)</x:f>
      </x:c>
      <x:c r="N87" s="37"/>
      <x:c r="O87" s="42"/>
      <x:c r="P87" s="37"/>
      <x:c r="Q87" s="37"/>
    </x:row>
    <x:row r="88">
      <x:c r="A88" s="37"/>
      <x:c r="B88" s="59" t="str">
        <x:f>IF(C88="","","AST-"&amp;TEXT(ROW()-5,"0000"))</x:f>
      </x:c>
      <x:c r="C88" s="37"/>
      <x:c r="D88" s="37"/>
      <x:c r="E88" s="37"/>
      <x:c r="F88" s="37"/>
      <x:c r="G88" s="42"/>
      <x:c r="H88" s="44"/>
      <x:c r="I88" s="37"/>
      <x:c r="J88" s="37"/>
      <x:c r="K88" s="42"/>
      <x:c r="L88" s="37"/>
      <x:c r="M88" s="80" t="str">
        <x:f>IF(OR(K88="",L88=""),"",K88+L88)</x:f>
      </x:c>
      <x:c r="N88" s="37"/>
      <x:c r="O88" s="42"/>
      <x:c r="P88" s="37"/>
      <x:c r="Q88" s="37"/>
    </x:row>
    <x:row r="89">
      <x:c r="A89" s="37"/>
      <x:c r="B89" s="59" t="str">
        <x:f>IF(C89="","","AST-"&amp;TEXT(ROW()-5,"0000"))</x:f>
      </x:c>
      <x:c r="C89" s="37"/>
      <x:c r="D89" s="37"/>
      <x:c r="E89" s="37"/>
      <x:c r="F89" s="37"/>
      <x:c r="G89" s="42"/>
      <x:c r="H89" s="44"/>
      <x:c r="I89" s="37"/>
      <x:c r="J89" s="37"/>
      <x:c r="K89" s="42"/>
      <x:c r="L89" s="37"/>
      <x:c r="M89" s="80" t="str">
        <x:f>IF(OR(K89="",L89=""),"",K89+L89)</x:f>
      </x:c>
      <x:c r="N89" s="37"/>
      <x:c r="O89" s="42"/>
      <x:c r="P89" s="37"/>
      <x:c r="Q89" s="37"/>
    </x:row>
    <x:row r="90">
      <x:c r="A90" s="37"/>
      <x:c r="B90" s="59" t="str">
        <x:f>IF(C90="","","AST-"&amp;TEXT(ROW()-5,"0000"))</x:f>
      </x:c>
      <x:c r="C90" s="37"/>
      <x:c r="D90" s="37"/>
      <x:c r="E90" s="37"/>
      <x:c r="F90" s="37"/>
      <x:c r="G90" s="42"/>
      <x:c r="H90" s="44"/>
      <x:c r="I90" s="37"/>
      <x:c r="J90" s="37"/>
      <x:c r="K90" s="42"/>
      <x:c r="L90" s="37"/>
      <x:c r="M90" s="80" t="str">
        <x:f>IF(OR(K90="",L90=""),"",K90+L90)</x:f>
      </x:c>
      <x:c r="N90" s="37"/>
      <x:c r="O90" s="42"/>
      <x:c r="P90" s="37"/>
      <x:c r="Q90" s="37"/>
    </x:row>
    <x:row r="91">
      <x:c r="A91" s="37"/>
      <x:c r="B91" s="59" t="str">
        <x:f>IF(C91="","","AST-"&amp;TEXT(ROW()-5,"0000"))</x:f>
      </x:c>
      <x:c r="C91" s="37"/>
      <x:c r="D91" s="37"/>
      <x:c r="E91" s="37"/>
      <x:c r="F91" s="37"/>
      <x:c r="G91" s="42"/>
      <x:c r="H91" s="44"/>
      <x:c r="I91" s="37"/>
      <x:c r="J91" s="37"/>
      <x:c r="K91" s="42"/>
      <x:c r="L91" s="37"/>
      <x:c r="M91" s="80" t="str">
        <x:f>IF(OR(K91="",L91=""),"",K91+L91)</x:f>
      </x:c>
      <x:c r="N91" s="37"/>
      <x:c r="O91" s="42"/>
      <x:c r="P91" s="37"/>
      <x:c r="Q91" s="37"/>
    </x:row>
    <x:row r="92">
      <x:c r="A92" s="37"/>
      <x:c r="B92" s="59" t="str">
        <x:f>IF(C92="","","AST-"&amp;TEXT(ROW()-5,"0000"))</x:f>
      </x:c>
      <x:c r="C92" s="37"/>
      <x:c r="D92" s="37"/>
      <x:c r="E92" s="37"/>
      <x:c r="F92" s="37"/>
      <x:c r="G92" s="42"/>
      <x:c r="H92" s="44"/>
      <x:c r="I92" s="37"/>
      <x:c r="J92" s="37"/>
      <x:c r="K92" s="42"/>
      <x:c r="L92" s="37"/>
      <x:c r="M92" s="80" t="str">
        <x:f>IF(OR(K92="",L92=""),"",K92+L92)</x:f>
      </x:c>
      <x:c r="N92" s="37"/>
      <x:c r="O92" s="42"/>
      <x:c r="P92" s="37"/>
      <x:c r="Q92" s="37"/>
    </x:row>
    <x:row r="93">
      <x:c r="A93" s="37"/>
      <x:c r="B93" s="59" t="str">
        <x:f>IF(C93="","","AST-"&amp;TEXT(ROW()-5,"0000"))</x:f>
      </x:c>
      <x:c r="C93" s="37"/>
      <x:c r="D93" s="37"/>
      <x:c r="E93" s="37"/>
      <x:c r="F93" s="37"/>
      <x:c r="G93" s="42"/>
      <x:c r="H93" s="44"/>
      <x:c r="I93" s="37"/>
      <x:c r="J93" s="37"/>
      <x:c r="K93" s="42"/>
      <x:c r="L93" s="37"/>
      <x:c r="M93" s="80" t="str">
        <x:f>IF(OR(K93="",L93=""),"",K93+L93)</x:f>
      </x:c>
      <x:c r="N93" s="37"/>
      <x:c r="O93" s="42"/>
      <x:c r="P93" s="37"/>
      <x:c r="Q93" s="37"/>
    </x:row>
    <x:row r="94">
      <x:c r="A94" s="37"/>
      <x:c r="B94" s="59" t="str">
        <x:f>IF(C94="","","AST-"&amp;TEXT(ROW()-5,"0000"))</x:f>
      </x:c>
      <x:c r="C94" s="37"/>
      <x:c r="D94" s="37"/>
      <x:c r="E94" s="37"/>
      <x:c r="F94" s="37"/>
      <x:c r="G94" s="42"/>
      <x:c r="H94" s="44"/>
      <x:c r="I94" s="37"/>
      <x:c r="J94" s="37"/>
      <x:c r="K94" s="42"/>
      <x:c r="L94" s="37"/>
      <x:c r="M94" s="80" t="str">
        <x:f>IF(OR(K94="",L94=""),"",K94+L94)</x:f>
      </x:c>
      <x:c r="N94" s="37"/>
      <x:c r="O94" s="42"/>
      <x:c r="P94" s="37"/>
      <x:c r="Q94" s="37"/>
    </x:row>
    <x:row r="95">
      <x:c r="A95" s="37"/>
      <x:c r="B95" s="59" t="str">
        <x:f>IF(C95="","","AST-"&amp;TEXT(ROW()-5,"0000"))</x:f>
      </x:c>
      <x:c r="C95" s="37"/>
      <x:c r="D95" s="37"/>
      <x:c r="E95" s="37"/>
      <x:c r="F95" s="37"/>
      <x:c r="G95" s="42"/>
      <x:c r="H95" s="44"/>
      <x:c r="I95" s="37"/>
      <x:c r="J95" s="37"/>
      <x:c r="K95" s="42"/>
      <x:c r="L95" s="37"/>
      <x:c r="M95" s="80" t="str">
        <x:f>IF(OR(K95="",L95=""),"",K95+L95)</x:f>
      </x:c>
      <x:c r="N95" s="37"/>
      <x:c r="O95" s="42"/>
      <x:c r="P95" s="37"/>
      <x:c r="Q95" s="37"/>
    </x:row>
    <x:row r="96">
      <x:c r="A96" s="37"/>
      <x:c r="B96" s="59" t="str">
        <x:f>IF(C96="","","AST-"&amp;TEXT(ROW()-5,"0000"))</x:f>
      </x:c>
      <x:c r="C96" s="37"/>
      <x:c r="D96" s="37"/>
      <x:c r="E96" s="37"/>
      <x:c r="F96" s="37"/>
      <x:c r="G96" s="42"/>
      <x:c r="H96" s="44"/>
      <x:c r="I96" s="37"/>
      <x:c r="J96" s="37"/>
      <x:c r="K96" s="42"/>
      <x:c r="L96" s="37"/>
      <x:c r="M96" s="80" t="str">
        <x:f>IF(OR(K96="",L96=""),"",K96+L96)</x:f>
      </x:c>
      <x:c r="N96" s="37"/>
      <x:c r="O96" s="42"/>
      <x:c r="P96" s="37"/>
      <x:c r="Q96" s="37"/>
    </x:row>
    <x:row r="97">
      <x:c r="A97" s="37"/>
      <x:c r="B97" s="59" t="str">
        <x:f>IF(C97="","","AST-"&amp;TEXT(ROW()-5,"0000"))</x:f>
      </x:c>
      <x:c r="C97" s="37"/>
      <x:c r="D97" s="37"/>
      <x:c r="E97" s="37"/>
      <x:c r="F97" s="37"/>
      <x:c r="G97" s="42"/>
      <x:c r="H97" s="44"/>
      <x:c r="I97" s="37"/>
      <x:c r="J97" s="37"/>
      <x:c r="K97" s="42"/>
      <x:c r="L97" s="37"/>
      <x:c r="M97" s="80" t="str">
        <x:f>IF(OR(K97="",L97=""),"",K97+L97)</x:f>
      </x:c>
      <x:c r="N97" s="37"/>
      <x:c r="O97" s="42"/>
      <x:c r="P97" s="37"/>
      <x:c r="Q97" s="37"/>
    </x:row>
    <x:row r="98">
      <x:c r="A98" s="37"/>
      <x:c r="B98" s="59" t="str">
        <x:f>IF(C98="","","AST-"&amp;TEXT(ROW()-5,"0000"))</x:f>
      </x:c>
      <x:c r="C98" s="37"/>
      <x:c r="D98" s="37"/>
      <x:c r="E98" s="37"/>
      <x:c r="F98" s="37"/>
      <x:c r="G98" s="42"/>
      <x:c r="H98" s="44"/>
      <x:c r="I98" s="37"/>
      <x:c r="J98" s="37"/>
      <x:c r="K98" s="42"/>
      <x:c r="L98" s="37"/>
      <x:c r="M98" s="80" t="str">
        <x:f>IF(OR(K98="",L98=""),"",K98+L98)</x:f>
      </x:c>
      <x:c r="N98" s="37"/>
      <x:c r="O98" s="42"/>
      <x:c r="P98" s="37"/>
      <x:c r="Q98" s="37"/>
    </x:row>
    <x:row r="99">
      <x:c r="A99" s="37"/>
      <x:c r="B99" s="59" t="str">
        <x:f>IF(C99="","","AST-"&amp;TEXT(ROW()-5,"0000"))</x:f>
      </x:c>
      <x:c r="C99" s="37"/>
      <x:c r="D99" s="37"/>
      <x:c r="E99" s="37"/>
      <x:c r="F99" s="37"/>
      <x:c r="G99" s="42"/>
      <x:c r="H99" s="44"/>
      <x:c r="I99" s="37"/>
      <x:c r="J99" s="37"/>
      <x:c r="K99" s="42"/>
      <x:c r="L99" s="37"/>
      <x:c r="M99" s="80" t="str">
        <x:f>IF(OR(K99="",L99=""),"",K99+L99)</x:f>
      </x:c>
      <x:c r="N99" s="37"/>
      <x:c r="O99" s="42"/>
      <x:c r="P99" s="37"/>
      <x:c r="Q99" s="37"/>
    </x:row>
    <x:row r="100">
      <x:c r="A100" s="37"/>
      <x:c r="B100" s="59" t="str">
        <x:f>IF(C100="","","AST-"&amp;TEXT(ROW()-5,"0000"))</x:f>
      </x:c>
      <x:c r="C100" s="37"/>
      <x:c r="D100" s="37"/>
      <x:c r="E100" s="37"/>
      <x:c r="F100" s="37"/>
      <x:c r="G100" s="42"/>
      <x:c r="H100" s="44"/>
      <x:c r="I100" s="37"/>
      <x:c r="J100" s="37"/>
      <x:c r="K100" s="42"/>
      <x:c r="L100" s="37"/>
      <x:c r="M100" s="80" t="str">
        <x:f>IF(OR(K100="",L100=""),"",K100+L100)</x:f>
      </x:c>
      <x:c r="N100" s="37"/>
      <x:c r="O100" s="42"/>
      <x:c r="P100" s="37"/>
      <x:c r="Q100" s="37"/>
    </x:row>
    <x:row r="101">
      <x:c r="A101" s="37"/>
      <x:c r="B101" s="59" t="str">
        <x:f>IF(C101="","","AST-"&amp;TEXT(ROW()-5,"0000"))</x:f>
      </x:c>
      <x:c r="C101" s="37"/>
      <x:c r="D101" s="37"/>
      <x:c r="E101" s="37"/>
      <x:c r="F101" s="37"/>
      <x:c r="G101" s="42"/>
      <x:c r="H101" s="44"/>
      <x:c r="I101" s="37"/>
      <x:c r="J101" s="37"/>
      <x:c r="K101" s="42"/>
      <x:c r="L101" s="37"/>
      <x:c r="M101" s="80" t="str">
        <x:f>IF(OR(K101="",L101=""),"",K101+L101)</x:f>
      </x:c>
      <x:c r="N101" s="37"/>
      <x:c r="O101" s="42"/>
      <x:c r="P101" s="37"/>
      <x:c r="Q101" s="37"/>
    </x:row>
    <x:row r="102">
      <x:c r="A102" s="37"/>
      <x:c r="B102" s="59" t="str">
        <x:f>IF(C102="","","AST-"&amp;TEXT(ROW()-5,"0000"))</x:f>
      </x:c>
      <x:c r="C102" s="37"/>
      <x:c r="D102" s="37"/>
      <x:c r="E102" s="37"/>
      <x:c r="F102" s="37"/>
      <x:c r="G102" s="42"/>
      <x:c r="H102" s="44"/>
      <x:c r="I102" s="37"/>
      <x:c r="J102" s="37"/>
      <x:c r="K102" s="42"/>
      <x:c r="L102" s="37"/>
      <x:c r="M102" s="80" t="str">
        <x:f>IF(OR(K102="",L102=""),"",K102+L102)</x:f>
      </x:c>
      <x:c r="N102" s="37"/>
      <x:c r="O102" s="42"/>
      <x:c r="P102" s="37"/>
      <x:c r="Q102" s="37"/>
    </x:row>
    <x:row r="103">
      <x:c r="A103" s="37"/>
      <x:c r="B103" s="59" t="str">
        <x:f>IF(C103="","","AST-"&amp;TEXT(ROW()-5,"0000"))</x:f>
      </x:c>
      <x:c r="C103" s="37"/>
      <x:c r="D103" s="37"/>
      <x:c r="E103" s="37"/>
      <x:c r="F103" s="37"/>
      <x:c r="G103" s="42"/>
      <x:c r="H103" s="44"/>
      <x:c r="I103" s="37"/>
      <x:c r="J103" s="37"/>
      <x:c r="K103" s="42"/>
      <x:c r="L103" s="37"/>
      <x:c r="M103" s="80" t="str">
        <x:f>IF(OR(K103="",L103=""),"",K103+L103)</x:f>
      </x:c>
      <x:c r="N103" s="37"/>
      <x:c r="O103" s="42"/>
      <x:c r="P103" s="37"/>
      <x:c r="Q103" s="37"/>
    </x:row>
    <x:row r="104">
      <x:c r="A104" s="37"/>
      <x:c r="B104" s="59" t="str">
        <x:f>IF(C104="","","AST-"&amp;TEXT(ROW()-5,"0000"))</x:f>
      </x:c>
      <x:c r="C104" s="37"/>
      <x:c r="D104" s="37"/>
      <x:c r="E104" s="37"/>
      <x:c r="F104" s="37"/>
      <x:c r="G104" s="42"/>
      <x:c r="H104" s="44"/>
      <x:c r="I104" s="37"/>
      <x:c r="J104" s="37"/>
      <x:c r="K104" s="42"/>
      <x:c r="L104" s="37"/>
      <x:c r="M104" s="80" t="str">
        <x:f>IF(OR(K104="",L104=""),"",K104+L104)</x:f>
      </x:c>
      <x:c r="N104" s="37"/>
      <x:c r="O104" s="42"/>
      <x:c r="P104" s="37"/>
      <x:c r="Q104" s="37"/>
    </x:row>
    <x:row r="105">
      <x:c r="A105" s="37"/>
      <x:c r="B105" s="59" t="str">
        <x:f>IF(C105="","","AST-"&amp;TEXT(ROW()-5,"0000"))</x:f>
      </x:c>
      <x:c r="C105" s="37"/>
      <x:c r="D105" s="37"/>
      <x:c r="E105" s="37"/>
      <x:c r="F105" s="37"/>
      <x:c r="G105" s="42"/>
      <x:c r="H105" s="44"/>
      <x:c r="I105" s="37"/>
      <x:c r="J105" s="37"/>
      <x:c r="K105" s="42"/>
      <x:c r="L105" s="37"/>
      <x:c r="M105" s="80" t="str">
        <x:f>IF(OR(K105="",L105=""),"",K105+L105)</x:f>
      </x:c>
      <x:c r="N105" s="37"/>
      <x:c r="O105" s="42"/>
      <x:c r="P105" s="37"/>
      <x:c r="Q105" s="37"/>
    </x:row>
  </x:sheetData>
  <x:mergeCells>
    <x:mergeCell ref="A1:Q1"/>
    <x:mergeCell ref="A2:Q2"/>
    <x:mergeCell ref="A4:Q4"/>
  </x:mergeCells>
  <x:conditionalFormatting sqref="M6:M105">
    <x:cfRule type="expression" dxfId="4" priority="1">
      <x:formula>AND($M6&lt;&gt;"",$M6&lt;=TODAY()+'99_SETTINGS'!$B$12)</x:formula>
    </x:cfRule>
  </x:conditionalFormatting>
  <x:dataValidations count="4">
    <x:dataValidation type="list" sqref="A6:A105">
      <x:formula1>99_SETTINGS!$D$19:$D$20</x:formula1>
    </x:dataValidation>
    <x:dataValidation type="list" sqref="E6:E105">
      <x:formula1>99_SETTINGS!$D$5:$D$8</x:formula1>
    </x:dataValidation>
    <x:dataValidation type="list" sqref="J6:J105">
      <x:formula1>99_SETTINGS!$K$19:$K$23</x:formula1>
    </x:dataValidation>
    <x:dataValidation type="list" sqref="P6:P105">
      <x:formula1>'09_STAFF'!$C$6:$C$105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a00031bb9540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20" hidden="0" customWidth="1"/>
    <x:col min="5" max="5" width="18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3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22" hidden="0" customWidth="1"/>
    <x:col min="16" max="16" width="14" hidden="0" customWidth="1"/>
    <x:col min="17" max="17" width="30" hidden="0" customWidth="1"/>
  </x:cols>
  <x:sheetData>
    <x:row r="1" ht="34" customHeight="1">
      <x:c r="A1" s="4" t="str">
        <x:v>CONSUMABLE INVENTORY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6" customHeight="1">
      <x:c r="A2" s="10" t="str">
        <x:v>Cleaning materials, towels, retail items and small studio consumables.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4">
      <x:c r="A4" s="53" t="str">
        <x:v>Yellow = staff input | Grey/green = automatic calculation | Demo rows can be replaced with real data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</x:row>
    <x:row r="5" ht="34" customHeight="1">
      <x:c r="A5" s="18" t="str">
        <x:v>Record Type</x:v>
      </x:c>
      <x:c r="B5" s="18" t="str">
        <x:v>Item ID</x:v>
      </x:c>
      <x:c r="C5" s="18" t="str">
        <x:v>Item Name</x:v>
      </x:c>
      <x:c r="D5" s="18" t="str">
        <x:v>Category</x:v>
      </x:c>
      <x:c r="E5" s="18" t="str">
        <x:v>Branch</x:v>
      </x:c>
      <x:c r="F5" s="18" t="str">
        <x:v>Unit</x:v>
      </x:c>
      <x:c r="G5" s="18" t="str">
        <x:v>Opening Qty</x:v>
      </x:c>
      <x:c r="H5" s="18" t="str">
        <x:v>Qty Received</x:v>
      </x:c>
      <x:c r="I5" s="18" t="str">
        <x:v>Qty Used</x:v>
      </x:c>
      <x:c r="J5" s="18" t="str">
        <x:v>Closing Qty</x:v>
      </x:c>
      <x:c r="K5" s="18" t="str">
        <x:v>Reorder Level</x:v>
      </x:c>
      <x:c r="L5" s="18" t="str">
        <x:v>Reorder Flag</x:v>
      </x:c>
      <x:c r="M5" s="18" t="str">
        <x:v>Unit Cost</x:v>
      </x:c>
      <x:c r="N5" s="18" t="str">
        <x:v>Stock Value</x:v>
      </x:c>
      <x:c r="O5" s="18" t="str">
        <x:v>Supplier</x:v>
      </x:c>
      <x:c r="P5" s="18" t="str">
        <x:v>Last Updated</x:v>
      </x:c>
      <x:c r="Q5" s="18" t="str">
        <x:v>Notes</x:v>
      </x:c>
    </x:row>
    <x:row r="6">
      <x:c r="A6" s="37" t="str">
        <x:v>DEMO</x:v>
      </x:c>
      <x:c r="B6" s="59" t="str">
        <x:f>IF(C6="","","ITM-"&amp;TEXT(ROW()-5,"0000"))</x:f>
        <x:v>ITM-0001</x:v>
      </x:c>
      <x:c r="C6" s="37" t="str">
        <x:v>Disinfectant Spray</x:v>
      </x:c>
      <x:c r="D6" s="37" t="str">
        <x:v>Cleaning</x:v>
      </x:c>
      <x:c r="E6" s="37" t="str">
        <x:v>Main Studio</x:v>
      </x:c>
      <x:c r="F6" s="37" t="str">
        <x:v>bottle</x:v>
      </x:c>
      <x:c r="G6" s="37" t="n">
        <x:v>10</x:v>
      </x:c>
      <x:c r="H6" s="37" t="n">
        <x:v>12</x:v>
      </x:c>
      <x:c r="I6" s="37" t="n">
        <x:v>16</x:v>
      </x:c>
      <x:c r="J6" s="59" t="n">
        <x:f>IF(C6="","",MAX(0,G6+H6-I6))</x:f>
        <x:v>6</x:v>
      </x:c>
      <x:c r="K6" s="37" t="n">
        <x:v>5</x:v>
      </x:c>
      <x:c r="L6" s="59" t="str">
        <x:f>IF(C6="","",IF(J6&lt;=K6,"REORDER","OK"))</x:f>
        <x:v>OK</x:v>
      </x:c>
      <x:c r="M6" s="44" t="n">
        <x:v>450</x:v>
      </x:c>
      <x:c r="N6" s="76" t="n">
        <x:f>IF(C6="","",J6*M6)</x:f>
        <x:v>2700</x:v>
      </x:c>
      <x:c r="O6" s="37" t="str">
        <x:v>Supplier D</x:v>
      </x:c>
      <x:c r="P6" s="42" t="n">
        <x:v>46213</x:v>
      </x:c>
      <x:c r="Q6" s="37" t="str"/>
    </x:row>
    <x:row r="7">
      <x:c r="A7" s="37" t="str">
        <x:v>DEMO</x:v>
      </x:c>
      <x:c r="B7" s="59" t="str">
        <x:f>IF(C7="","","ITM-"&amp;TEXT(ROW()-5,"0000"))</x:f>
        <x:v>ITM-0002</x:v>
      </x:c>
      <x:c r="C7" s="37" t="str">
        <x:v>Microfiber Towels</x:v>
      </x:c>
      <x:c r="D7" s="37" t="str">
        <x:v>Cleaning</x:v>
      </x:c>
      <x:c r="E7" s="37" t="str">
        <x:v>Main Studio</x:v>
      </x:c>
      <x:c r="F7" s="37" t="str">
        <x:v>piece</x:v>
      </x:c>
      <x:c r="G7" s="37" t="n">
        <x:v>30</x:v>
      </x:c>
      <x:c r="H7" s="37" t="n">
        <x:v>10</x:v>
      </x:c>
      <x:c r="I7" s="37" t="n">
        <x:v>8</x:v>
      </x:c>
      <x:c r="J7" s="59" t="n">
        <x:f>IF(C7="","",MAX(0,G7+H7-I7))</x:f>
        <x:v>32</x:v>
      </x:c>
      <x:c r="K7" s="37" t="n">
        <x:v>12</x:v>
      </x:c>
      <x:c r="L7" s="59" t="str">
        <x:f>IF(C7="","",IF(J7&lt;=K7,"REORDER","OK"))</x:f>
        <x:v>OK</x:v>
      </x:c>
      <x:c r="M7" s="44" t="n">
        <x:v>300</x:v>
      </x:c>
      <x:c r="N7" s="76" t="n">
        <x:f>IF(C7="","",J7*M7)</x:f>
        <x:v>9600</x:v>
      </x:c>
      <x:c r="O7" s="37" t="str">
        <x:v>Supplier D</x:v>
      </x:c>
      <x:c r="P7" s="42" t="n">
        <x:v>46213</x:v>
      </x:c>
      <x:c r="Q7" s="37" t="str"/>
    </x:row>
    <x:row r="8">
      <x:c r="A8" s="37" t="str">
        <x:v>DEMO</x:v>
      </x:c>
      <x:c r="B8" s="59" t="str">
        <x:f>IF(C8="","","ITM-"&amp;TEXT(ROW()-5,"0000"))</x:f>
        <x:v>ITM-0003</x:v>
      </x:c>
      <x:c r="C8" s="37" t="str">
        <x:v>Bottled Water</x:v>
      </x:c>
      <x:c r="D8" s="37" t="str">
        <x:v>Hospitality</x:v>
      </x:c>
      <x:c r="E8" s="37" t="str">
        <x:v>Main Studio</x:v>
      </x:c>
      <x:c r="F8" s="37" t="str">
        <x:v>bottle</x:v>
      </x:c>
      <x:c r="G8" s="37" t="n">
        <x:v>50</x:v>
      </x:c>
      <x:c r="H8" s="37" t="n">
        <x:v>100</x:v>
      </x:c>
      <x:c r="I8" s="37" t="n">
        <x:v>120</x:v>
      </x:c>
      <x:c r="J8" s="59" t="n">
        <x:f>IF(C8="","",MAX(0,G8+H8-I8))</x:f>
        <x:v>30</x:v>
      </x:c>
      <x:c r="K8" s="37" t="n">
        <x:v>25</x:v>
      </x:c>
      <x:c r="L8" s="59" t="str">
        <x:f>IF(C8="","",IF(J8&lt;=K8,"REORDER","OK"))</x:f>
        <x:v>OK</x:v>
      </x:c>
      <x:c r="M8" s="44" t="n">
        <x:v>50</x:v>
      </x:c>
      <x:c r="N8" s="76" t="n">
        <x:f>IF(C8="","",J8*M8)</x:f>
        <x:v>1500</x:v>
      </x:c>
      <x:c r="O8" s="37" t="str">
        <x:v>Supplier E</x:v>
      </x:c>
      <x:c r="P8" s="42" t="n">
        <x:v>46213</x:v>
      </x:c>
      <x:c r="Q8" s="37" t="str"/>
    </x:row>
    <x:row r="9">
      <x:c r="A9" s="37" t="str">
        <x:v>DEMO</x:v>
      </x:c>
      <x:c r="B9" s="59" t="str">
        <x:f>IF(C9="","","ITM-"&amp;TEXT(ROW()-5,"0000"))</x:f>
        <x:v>ITM-0004</x:v>
      </x:c>
      <x:c r="C9" s="37" t="str">
        <x:v>Grip Socks</x:v>
      </x:c>
      <x:c r="D9" s="37" t="str">
        <x:v>Retail</x:v>
      </x:c>
      <x:c r="E9" s="37" t="str">
        <x:v>Main Studio</x:v>
      </x:c>
      <x:c r="F9" s="37" t="str">
        <x:v>pair</x:v>
      </x:c>
      <x:c r="G9" s="37" t="n">
        <x:v>20</x:v>
      </x:c>
      <x:c r="H9" s="37" t="n">
        <x:v>15</x:v>
      </x:c>
      <x:c r="I9" s="37" t="n">
        <x:v>22</x:v>
      </x:c>
      <x:c r="J9" s="59" t="n">
        <x:f>IF(C9="","",MAX(0,G9+H9-I9))</x:f>
        <x:v>13</x:v>
      </x:c>
      <x:c r="K9" s="37" t="n">
        <x:v>10</x:v>
      </x:c>
      <x:c r="L9" s="59" t="str">
        <x:f>IF(C9="","",IF(J9&lt;=K9,"REORDER","OK"))</x:f>
        <x:v>OK</x:v>
      </x:c>
      <x:c r="M9" s="44" t="n">
        <x:v>650</x:v>
      </x:c>
      <x:c r="N9" s="76" t="n">
        <x:f>IF(C9="","",J9*M9)</x:f>
        <x:v>8450</x:v>
      </x:c>
      <x:c r="O9" s="37" t="str">
        <x:v>Supplier F</x:v>
      </x:c>
      <x:c r="P9" s="42" t="n">
        <x:v>46213</x:v>
      </x:c>
      <x:c r="Q9" s="37" t="str"/>
    </x:row>
    <x:row r="10">
      <x:c r="A10" s="37" t="str">
        <x:v>DEMO</x:v>
      </x:c>
      <x:c r="B10" s="59" t="str">
        <x:f>IF(C10="","","ITM-"&amp;TEXT(ROW()-5,"0000"))</x:f>
        <x:v>ITM-0005</x:v>
      </x:c>
      <x:c r="C10" s="37" t="str">
        <x:v>Printer Paper</x:v>
      </x:c>
      <x:c r="D10" s="37" t="str">
        <x:v>Office</x:v>
      </x:c>
      <x:c r="E10" s="37" t="str">
        <x:v>Main Studio</x:v>
      </x:c>
      <x:c r="F10" s="37" t="str">
        <x:v>pack</x:v>
      </x:c>
      <x:c r="G10" s="37" t="n">
        <x:v>4</x:v>
      </x:c>
      <x:c r="H10" s="37" t="n">
        <x:v>2</x:v>
      </x:c>
      <x:c r="I10" s="37" t="n">
        <x:v>5</x:v>
      </x:c>
      <x:c r="J10" s="59" t="n">
        <x:f>IF(C10="","",MAX(0,G10+H10-I10))</x:f>
        <x:v>1</x:v>
      </x:c>
      <x:c r="K10" s="37" t="n">
        <x:v>2</x:v>
      </x:c>
      <x:c r="L10" s="59" t="str">
        <x:f>IF(C10="","",IF(J10&lt;=K10,"REORDER","OK"))</x:f>
        <x:v>REORDER</x:v>
      </x:c>
      <x:c r="M10" s="44" t="n">
        <x:v>500</x:v>
      </x:c>
      <x:c r="N10" s="76" t="n">
        <x:f>IF(C10="","",J10*M10)</x:f>
        <x:v>500</x:v>
      </x:c>
      <x:c r="O10" s="37" t="str">
        <x:v>Supplier G</x:v>
      </x:c>
      <x:c r="P10" s="42" t="n">
        <x:v>46213</x:v>
      </x:c>
      <x:c r="Q10" s="37" t="str"/>
    </x:row>
    <x:row r="11">
      <x:c r="A11" s="37" t="str">
        <x:v>DEMO</x:v>
      </x:c>
      <x:c r="B11" s="59" t="str">
        <x:f>IF(C11="","","ITM-"&amp;TEXT(ROW()-5,"0000"))</x:f>
        <x:v>ITM-0006</x:v>
      </x:c>
      <x:c r="C11" s="37" t="str">
        <x:v>Hand Sanitizer</x:v>
      </x:c>
      <x:c r="D11" s="37" t="str">
        <x:v>Cleaning</x:v>
      </x:c>
      <x:c r="E11" s="37" t="str">
        <x:v>Main Studio</x:v>
      </x:c>
      <x:c r="F11" s="37" t="str">
        <x:v>bottle</x:v>
      </x:c>
      <x:c r="G11" s="37" t="n">
        <x:v>8</x:v>
      </x:c>
      <x:c r="H11" s="37" t="n">
        <x:v>6</x:v>
      </x:c>
      <x:c r="I11" s="37" t="n">
        <x:v>10</x:v>
      </x:c>
      <x:c r="J11" s="59" t="n">
        <x:f>IF(C11="","",MAX(0,G11+H11-I11))</x:f>
        <x:v>4</x:v>
      </x:c>
      <x:c r="K11" s="37" t="n">
        <x:v>4</x:v>
      </x:c>
      <x:c r="L11" s="59" t="str">
        <x:f>IF(C11="","",IF(J11&lt;=K11,"REORDER","OK"))</x:f>
        <x:v>REORDER</x:v>
      </x:c>
      <x:c r="M11" s="44" t="n">
        <x:v>350</x:v>
      </x:c>
      <x:c r="N11" s="76" t="n">
        <x:f>IF(C11="","",J11*M11)</x:f>
        <x:v>1400</x:v>
      </x:c>
      <x:c r="O11" s="37" t="str">
        <x:v>Supplier D</x:v>
      </x:c>
      <x:c r="P11" s="42" t="n">
        <x:v>46213</x:v>
      </x:c>
      <x:c r="Q11" s="37" t="str"/>
    </x:row>
    <x:row r="12">
      <x:c r="A12" s="37"/>
      <x:c r="B12" s="59" t="str">
        <x:f>IF(C12="","","ITM-"&amp;TEXT(ROW()-5,"0000"))</x:f>
      </x:c>
      <x:c r="C12" s="37"/>
      <x:c r="D12" s="37"/>
      <x:c r="E12" s="37"/>
      <x:c r="F12" s="37"/>
      <x:c r="G12" s="37"/>
      <x:c r="H12" s="37"/>
      <x:c r="I12" s="37"/>
      <x:c r="J12" s="59" t="str">
        <x:f>IF(C12="","",MAX(0,G12+H12-I12))</x:f>
      </x:c>
      <x:c r="K12" s="37"/>
      <x:c r="L12" s="59" t="str">
        <x:f>IF(C12="","",IF(J12&lt;=K12,"REORDER","OK"))</x:f>
      </x:c>
      <x:c r="M12" s="44"/>
      <x:c r="N12" s="76" t="str">
        <x:f>IF(C12="","",J12*M12)</x:f>
      </x:c>
      <x:c r="O12" s="37"/>
      <x:c r="P12" s="42"/>
      <x:c r="Q12" s="37"/>
    </x:row>
    <x:row r="13">
      <x:c r="A13" s="37"/>
      <x:c r="B13" s="59" t="str">
        <x:f>IF(C13="","","ITM-"&amp;TEXT(ROW()-5,"0000"))</x:f>
      </x:c>
      <x:c r="C13" s="37"/>
      <x:c r="D13" s="37"/>
      <x:c r="E13" s="37"/>
      <x:c r="F13" s="37"/>
      <x:c r="G13" s="37"/>
      <x:c r="H13" s="37"/>
      <x:c r="I13" s="37"/>
      <x:c r="J13" s="59" t="str">
        <x:f>IF(C13="","",MAX(0,G13+H13-I13))</x:f>
      </x:c>
      <x:c r="K13" s="37"/>
      <x:c r="L13" s="59" t="str">
        <x:f>IF(C13="","",IF(J13&lt;=K13,"REORDER","OK"))</x:f>
      </x:c>
      <x:c r="M13" s="44"/>
      <x:c r="N13" s="76" t="str">
        <x:f>IF(C13="","",J13*M13)</x:f>
      </x:c>
      <x:c r="O13" s="37"/>
      <x:c r="P13" s="42"/>
      <x:c r="Q13" s="37"/>
    </x:row>
    <x:row r="14">
      <x:c r="A14" s="37"/>
      <x:c r="B14" s="59" t="str">
        <x:f>IF(C14="","","ITM-"&amp;TEXT(ROW()-5,"0000"))</x:f>
      </x:c>
      <x:c r="C14" s="37"/>
      <x:c r="D14" s="37"/>
      <x:c r="E14" s="37"/>
      <x:c r="F14" s="37"/>
      <x:c r="G14" s="37"/>
      <x:c r="H14" s="37"/>
      <x:c r="I14" s="37"/>
      <x:c r="J14" s="59" t="str">
        <x:f>IF(C14="","",MAX(0,G14+H14-I14))</x:f>
      </x:c>
      <x:c r="K14" s="37"/>
      <x:c r="L14" s="59" t="str">
        <x:f>IF(C14="","",IF(J14&lt;=K14,"REORDER","OK"))</x:f>
      </x:c>
      <x:c r="M14" s="44"/>
      <x:c r="N14" s="76" t="str">
        <x:f>IF(C14="","",J14*M14)</x:f>
      </x:c>
      <x:c r="O14" s="37"/>
      <x:c r="P14" s="42"/>
      <x:c r="Q14" s="37"/>
    </x:row>
    <x:row r="15">
      <x:c r="A15" s="37"/>
      <x:c r="B15" s="59" t="str">
        <x:f>IF(C15="","","ITM-"&amp;TEXT(ROW()-5,"0000"))</x:f>
      </x:c>
      <x:c r="C15" s="37"/>
      <x:c r="D15" s="37"/>
      <x:c r="E15" s="37"/>
      <x:c r="F15" s="37"/>
      <x:c r="G15" s="37"/>
      <x:c r="H15" s="37"/>
      <x:c r="I15" s="37"/>
      <x:c r="J15" s="59" t="str">
        <x:f>IF(C15="","",MAX(0,G15+H15-I15))</x:f>
      </x:c>
      <x:c r="K15" s="37"/>
      <x:c r="L15" s="59" t="str">
        <x:f>IF(C15="","",IF(J15&lt;=K15,"REORDER","OK"))</x:f>
      </x:c>
      <x:c r="M15" s="44"/>
      <x:c r="N15" s="76" t="str">
        <x:f>IF(C15="","",J15*M15)</x:f>
      </x:c>
      <x:c r="O15" s="37"/>
      <x:c r="P15" s="42"/>
      <x:c r="Q15" s="37"/>
    </x:row>
    <x:row r="16">
      <x:c r="A16" s="37"/>
      <x:c r="B16" s="59" t="str">
        <x:f>IF(C16="","","ITM-"&amp;TEXT(ROW()-5,"0000"))</x:f>
      </x:c>
      <x:c r="C16" s="37"/>
      <x:c r="D16" s="37"/>
      <x:c r="E16" s="37"/>
      <x:c r="F16" s="37"/>
      <x:c r="G16" s="37"/>
      <x:c r="H16" s="37"/>
      <x:c r="I16" s="37"/>
      <x:c r="J16" s="59" t="str">
        <x:f>IF(C16="","",MAX(0,G16+H16-I16))</x:f>
      </x:c>
      <x:c r="K16" s="37"/>
      <x:c r="L16" s="59" t="str">
        <x:f>IF(C16="","",IF(J16&lt;=K16,"REORDER","OK"))</x:f>
      </x:c>
      <x:c r="M16" s="44"/>
      <x:c r="N16" s="76" t="str">
        <x:f>IF(C16="","",J16*M16)</x:f>
      </x:c>
      <x:c r="O16" s="37"/>
      <x:c r="P16" s="42"/>
      <x:c r="Q16" s="37"/>
    </x:row>
    <x:row r="17">
      <x:c r="A17" s="37"/>
      <x:c r="B17" s="59" t="str">
        <x:f>IF(C17="","","ITM-"&amp;TEXT(ROW()-5,"0000"))</x:f>
      </x:c>
      <x:c r="C17" s="37"/>
      <x:c r="D17" s="37"/>
      <x:c r="E17" s="37"/>
      <x:c r="F17" s="37"/>
      <x:c r="G17" s="37"/>
      <x:c r="H17" s="37"/>
      <x:c r="I17" s="37"/>
      <x:c r="J17" s="59" t="str">
        <x:f>IF(C17="","",MAX(0,G17+H17-I17))</x:f>
      </x:c>
      <x:c r="K17" s="37"/>
      <x:c r="L17" s="59" t="str">
        <x:f>IF(C17="","",IF(J17&lt;=K17,"REORDER","OK"))</x:f>
      </x:c>
      <x:c r="M17" s="44"/>
      <x:c r="N17" s="76" t="str">
        <x:f>IF(C17="","",J17*M17)</x:f>
      </x:c>
      <x:c r="O17" s="37"/>
      <x:c r="P17" s="42"/>
      <x:c r="Q17" s="37"/>
    </x:row>
    <x:row r="18">
      <x:c r="A18" s="37"/>
      <x:c r="B18" s="59" t="str">
        <x:f>IF(C18="","","ITM-"&amp;TEXT(ROW()-5,"0000"))</x:f>
      </x:c>
      <x:c r="C18" s="37"/>
      <x:c r="D18" s="37"/>
      <x:c r="E18" s="37"/>
      <x:c r="F18" s="37"/>
      <x:c r="G18" s="37"/>
      <x:c r="H18" s="37"/>
      <x:c r="I18" s="37"/>
      <x:c r="J18" s="59" t="str">
        <x:f>IF(C18="","",MAX(0,G18+H18-I18))</x:f>
      </x:c>
      <x:c r="K18" s="37"/>
      <x:c r="L18" s="59" t="str">
        <x:f>IF(C18="","",IF(J18&lt;=K18,"REORDER","OK"))</x:f>
      </x:c>
      <x:c r="M18" s="44"/>
      <x:c r="N18" s="76" t="str">
        <x:f>IF(C18="","",J18*M18)</x:f>
      </x:c>
      <x:c r="O18" s="37"/>
      <x:c r="P18" s="42"/>
      <x:c r="Q18" s="37"/>
    </x:row>
    <x:row r="19">
      <x:c r="A19" s="37"/>
      <x:c r="B19" s="59" t="str">
        <x:f>IF(C19="","","ITM-"&amp;TEXT(ROW()-5,"0000"))</x:f>
      </x:c>
      <x:c r="C19" s="37"/>
      <x:c r="D19" s="37"/>
      <x:c r="E19" s="37"/>
      <x:c r="F19" s="37"/>
      <x:c r="G19" s="37"/>
      <x:c r="H19" s="37"/>
      <x:c r="I19" s="37"/>
      <x:c r="J19" s="59" t="str">
        <x:f>IF(C19="","",MAX(0,G19+H19-I19))</x:f>
      </x:c>
      <x:c r="K19" s="37"/>
      <x:c r="L19" s="59" t="str">
        <x:f>IF(C19="","",IF(J19&lt;=K19,"REORDER","OK"))</x:f>
      </x:c>
      <x:c r="M19" s="44"/>
      <x:c r="N19" s="76" t="str">
        <x:f>IF(C19="","",J19*M19)</x:f>
      </x:c>
      <x:c r="O19" s="37"/>
      <x:c r="P19" s="42"/>
      <x:c r="Q19" s="37"/>
    </x:row>
    <x:row r="20">
      <x:c r="A20" s="37"/>
      <x:c r="B20" s="59" t="str">
        <x:f>IF(C20="","","ITM-"&amp;TEXT(ROW()-5,"0000"))</x:f>
      </x:c>
      <x:c r="C20" s="37"/>
      <x:c r="D20" s="37"/>
      <x:c r="E20" s="37"/>
      <x:c r="F20" s="37"/>
      <x:c r="G20" s="37"/>
      <x:c r="H20" s="37"/>
      <x:c r="I20" s="37"/>
      <x:c r="J20" s="59" t="str">
        <x:f>IF(C20="","",MAX(0,G20+H20-I20))</x:f>
      </x:c>
      <x:c r="K20" s="37"/>
      <x:c r="L20" s="59" t="str">
        <x:f>IF(C20="","",IF(J20&lt;=K20,"REORDER","OK"))</x:f>
      </x:c>
      <x:c r="M20" s="44"/>
      <x:c r="N20" s="76" t="str">
        <x:f>IF(C20="","",J20*M20)</x:f>
      </x:c>
      <x:c r="O20" s="37"/>
      <x:c r="P20" s="42"/>
      <x:c r="Q20" s="37"/>
    </x:row>
    <x:row r="21">
      <x:c r="A21" s="37"/>
      <x:c r="B21" s="59" t="str">
        <x:f>IF(C21="","","ITM-"&amp;TEXT(ROW()-5,"0000"))</x:f>
      </x:c>
      <x:c r="C21" s="37"/>
      <x:c r="D21" s="37"/>
      <x:c r="E21" s="37"/>
      <x:c r="F21" s="37"/>
      <x:c r="G21" s="37"/>
      <x:c r="H21" s="37"/>
      <x:c r="I21" s="37"/>
      <x:c r="J21" s="59" t="str">
        <x:f>IF(C21="","",MAX(0,G21+H21-I21))</x:f>
      </x:c>
      <x:c r="K21" s="37"/>
      <x:c r="L21" s="59" t="str">
        <x:f>IF(C21="","",IF(J21&lt;=K21,"REORDER","OK"))</x:f>
      </x:c>
      <x:c r="M21" s="44"/>
      <x:c r="N21" s="76" t="str">
        <x:f>IF(C21="","",J21*M21)</x:f>
      </x:c>
      <x:c r="O21" s="37"/>
      <x:c r="P21" s="42"/>
      <x:c r="Q21" s="37"/>
    </x:row>
    <x:row r="22">
      <x:c r="A22" s="37"/>
      <x:c r="B22" s="59" t="str">
        <x:f>IF(C22="","","ITM-"&amp;TEXT(ROW()-5,"0000"))</x:f>
      </x:c>
      <x:c r="C22" s="37"/>
      <x:c r="D22" s="37"/>
      <x:c r="E22" s="37"/>
      <x:c r="F22" s="37"/>
      <x:c r="G22" s="37"/>
      <x:c r="H22" s="37"/>
      <x:c r="I22" s="37"/>
      <x:c r="J22" s="59" t="str">
        <x:f>IF(C22="","",MAX(0,G22+H22-I22))</x:f>
      </x:c>
      <x:c r="K22" s="37"/>
      <x:c r="L22" s="59" t="str">
        <x:f>IF(C22="","",IF(J22&lt;=K22,"REORDER","OK"))</x:f>
      </x:c>
      <x:c r="M22" s="44"/>
      <x:c r="N22" s="76" t="str">
        <x:f>IF(C22="","",J22*M22)</x:f>
      </x:c>
      <x:c r="O22" s="37"/>
      <x:c r="P22" s="42"/>
      <x:c r="Q22" s="37"/>
    </x:row>
    <x:row r="23">
      <x:c r="A23" s="37"/>
      <x:c r="B23" s="59" t="str">
        <x:f>IF(C23="","","ITM-"&amp;TEXT(ROW()-5,"0000"))</x:f>
      </x:c>
      <x:c r="C23" s="37"/>
      <x:c r="D23" s="37"/>
      <x:c r="E23" s="37"/>
      <x:c r="F23" s="37"/>
      <x:c r="G23" s="37"/>
      <x:c r="H23" s="37"/>
      <x:c r="I23" s="37"/>
      <x:c r="J23" s="59" t="str">
        <x:f>IF(C23="","",MAX(0,G23+H23-I23))</x:f>
      </x:c>
      <x:c r="K23" s="37"/>
      <x:c r="L23" s="59" t="str">
        <x:f>IF(C23="","",IF(J23&lt;=K23,"REORDER","OK"))</x:f>
      </x:c>
      <x:c r="M23" s="44"/>
      <x:c r="N23" s="76" t="str">
        <x:f>IF(C23="","",J23*M23)</x:f>
      </x:c>
      <x:c r="O23" s="37"/>
      <x:c r="P23" s="42"/>
      <x:c r="Q23" s="37"/>
    </x:row>
    <x:row r="24">
      <x:c r="A24" s="37"/>
      <x:c r="B24" s="59" t="str">
        <x:f>IF(C24="","","ITM-"&amp;TEXT(ROW()-5,"0000"))</x:f>
      </x:c>
      <x:c r="C24" s="37"/>
      <x:c r="D24" s="37"/>
      <x:c r="E24" s="37"/>
      <x:c r="F24" s="37"/>
      <x:c r="G24" s="37"/>
      <x:c r="H24" s="37"/>
      <x:c r="I24" s="37"/>
      <x:c r="J24" s="59" t="str">
        <x:f>IF(C24="","",MAX(0,G24+H24-I24))</x:f>
      </x:c>
      <x:c r="K24" s="37"/>
      <x:c r="L24" s="59" t="str">
        <x:f>IF(C24="","",IF(J24&lt;=K24,"REORDER","OK"))</x:f>
      </x:c>
      <x:c r="M24" s="44"/>
      <x:c r="N24" s="76" t="str">
        <x:f>IF(C24="","",J24*M24)</x:f>
      </x:c>
      <x:c r="O24" s="37"/>
      <x:c r="P24" s="42"/>
      <x:c r="Q24" s="37"/>
    </x:row>
    <x:row r="25">
      <x:c r="A25" s="37"/>
      <x:c r="B25" s="59" t="str">
        <x:f>IF(C25="","","ITM-"&amp;TEXT(ROW()-5,"0000"))</x:f>
      </x:c>
      <x:c r="C25" s="37"/>
      <x:c r="D25" s="37"/>
      <x:c r="E25" s="37"/>
      <x:c r="F25" s="37"/>
      <x:c r="G25" s="37"/>
      <x:c r="H25" s="37"/>
      <x:c r="I25" s="37"/>
      <x:c r="J25" s="59" t="str">
        <x:f>IF(C25="","",MAX(0,G25+H25-I25))</x:f>
      </x:c>
      <x:c r="K25" s="37"/>
      <x:c r="L25" s="59" t="str">
        <x:f>IF(C25="","",IF(J25&lt;=K25,"REORDER","OK"))</x:f>
      </x:c>
      <x:c r="M25" s="44"/>
      <x:c r="N25" s="76" t="str">
        <x:f>IF(C25="","",J25*M25)</x:f>
      </x:c>
      <x:c r="O25" s="37"/>
      <x:c r="P25" s="42"/>
      <x:c r="Q25" s="37"/>
    </x:row>
    <x:row r="26">
      <x:c r="A26" s="37"/>
      <x:c r="B26" s="59" t="str">
        <x:f>IF(C26="","","ITM-"&amp;TEXT(ROW()-5,"0000"))</x:f>
      </x:c>
      <x:c r="C26" s="37"/>
      <x:c r="D26" s="37"/>
      <x:c r="E26" s="37"/>
      <x:c r="F26" s="37"/>
      <x:c r="G26" s="37"/>
      <x:c r="H26" s="37"/>
      <x:c r="I26" s="37"/>
      <x:c r="J26" s="59" t="str">
        <x:f>IF(C26="","",MAX(0,G26+H26-I26))</x:f>
      </x:c>
      <x:c r="K26" s="37"/>
      <x:c r="L26" s="59" t="str">
        <x:f>IF(C26="","",IF(J26&lt;=K26,"REORDER","OK"))</x:f>
      </x:c>
      <x:c r="M26" s="44"/>
      <x:c r="N26" s="76" t="str">
        <x:f>IF(C26="","",J26*M26)</x:f>
      </x:c>
      <x:c r="O26" s="37"/>
      <x:c r="P26" s="42"/>
      <x:c r="Q26" s="37"/>
    </x:row>
    <x:row r="27">
      <x:c r="A27" s="37"/>
      <x:c r="B27" s="59" t="str">
        <x:f>IF(C27="","","ITM-"&amp;TEXT(ROW()-5,"0000"))</x:f>
      </x:c>
      <x:c r="C27" s="37"/>
      <x:c r="D27" s="37"/>
      <x:c r="E27" s="37"/>
      <x:c r="F27" s="37"/>
      <x:c r="G27" s="37"/>
      <x:c r="H27" s="37"/>
      <x:c r="I27" s="37"/>
      <x:c r="J27" s="59" t="str">
        <x:f>IF(C27="","",MAX(0,G27+H27-I27))</x:f>
      </x:c>
      <x:c r="K27" s="37"/>
      <x:c r="L27" s="59" t="str">
        <x:f>IF(C27="","",IF(J27&lt;=K27,"REORDER","OK"))</x:f>
      </x:c>
      <x:c r="M27" s="44"/>
      <x:c r="N27" s="76" t="str">
        <x:f>IF(C27="","",J27*M27)</x:f>
      </x:c>
      <x:c r="O27" s="37"/>
      <x:c r="P27" s="42"/>
      <x:c r="Q27" s="37"/>
    </x:row>
    <x:row r="28">
      <x:c r="A28" s="37"/>
      <x:c r="B28" s="59" t="str">
        <x:f>IF(C28="","","ITM-"&amp;TEXT(ROW()-5,"0000"))</x:f>
      </x:c>
      <x:c r="C28" s="37"/>
      <x:c r="D28" s="37"/>
      <x:c r="E28" s="37"/>
      <x:c r="F28" s="37"/>
      <x:c r="G28" s="37"/>
      <x:c r="H28" s="37"/>
      <x:c r="I28" s="37"/>
      <x:c r="J28" s="59" t="str">
        <x:f>IF(C28="","",MAX(0,G28+H28-I28))</x:f>
      </x:c>
      <x:c r="K28" s="37"/>
      <x:c r="L28" s="59" t="str">
        <x:f>IF(C28="","",IF(J28&lt;=K28,"REORDER","OK"))</x:f>
      </x:c>
      <x:c r="M28" s="44"/>
      <x:c r="N28" s="76" t="str">
        <x:f>IF(C28="","",J28*M28)</x:f>
      </x:c>
      <x:c r="O28" s="37"/>
      <x:c r="P28" s="42"/>
      <x:c r="Q28" s="37"/>
    </x:row>
    <x:row r="29">
      <x:c r="A29" s="37"/>
      <x:c r="B29" s="59" t="str">
        <x:f>IF(C29="","","ITM-"&amp;TEXT(ROW()-5,"0000"))</x:f>
      </x:c>
      <x:c r="C29" s="37"/>
      <x:c r="D29" s="37"/>
      <x:c r="E29" s="37"/>
      <x:c r="F29" s="37"/>
      <x:c r="G29" s="37"/>
      <x:c r="H29" s="37"/>
      <x:c r="I29" s="37"/>
      <x:c r="J29" s="59" t="str">
        <x:f>IF(C29="","",MAX(0,G29+H29-I29))</x:f>
      </x:c>
      <x:c r="K29" s="37"/>
      <x:c r="L29" s="59" t="str">
        <x:f>IF(C29="","",IF(J29&lt;=K29,"REORDER","OK"))</x:f>
      </x:c>
      <x:c r="M29" s="44"/>
      <x:c r="N29" s="76" t="str">
        <x:f>IF(C29="","",J29*M29)</x:f>
      </x:c>
      <x:c r="O29" s="37"/>
      <x:c r="P29" s="42"/>
      <x:c r="Q29" s="37"/>
    </x:row>
    <x:row r="30">
      <x:c r="A30" s="37"/>
      <x:c r="B30" s="59" t="str">
        <x:f>IF(C30="","","ITM-"&amp;TEXT(ROW()-5,"0000"))</x:f>
      </x:c>
      <x:c r="C30" s="37"/>
      <x:c r="D30" s="37"/>
      <x:c r="E30" s="37"/>
      <x:c r="F30" s="37"/>
      <x:c r="G30" s="37"/>
      <x:c r="H30" s="37"/>
      <x:c r="I30" s="37"/>
      <x:c r="J30" s="59" t="str">
        <x:f>IF(C30="","",MAX(0,G30+H30-I30))</x:f>
      </x:c>
      <x:c r="K30" s="37"/>
      <x:c r="L30" s="59" t="str">
        <x:f>IF(C30="","",IF(J30&lt;=K30,"REORDER","OK"))</x:f>
      </x:c>
      <x:c r="M30" s="44"/>
      <x:c r="N30" s="76" t="str">
        <x:f>IF(C30="","",J30*M30)</x:f>
      </x:c>
      <x:c r="O30" s="37"/>
      <x:c r="P30" s="42"/>
      <x:c r="Q30" s="37"/>
    </x:row>
    <x:row r="31">
      <x:c r="A31" s="37"/>
      <x:c r="B31" s="59" t="str">
        <x:f>IF(C31="","","ITM-"&amp;TEXT(ROW()-5,"0000"))</x:f>
      </x:c>
      <x:c r="C31" s="37"/>
      <x:c r="D31" s="37"/>
      <x:c r="E31" s="37"/>
      <x:c r="F31" s="37"/>
      <x:c r="G31" s="37"/>
      <x:c r="H31" s="37"/>
      <x:c r="I31" s="37"/>
      <x:c r="J31" s="59" t="str">
        <x:f>IF(C31="","",MAX(0,G31+H31-I31))</x:f>
      </x:c>
      <x:c r="K31" s="37"/>
      <x:c r="L31" s="59" t="str">
        <x:f>IF(C31="","",IF(J31&lt;=K31,"REORDER","OK"))</x:f>
      </x:c>
      <x:c r="M31" s="44"/>
      <x:c r="N31" s="76" t="str">
        <x:f>IF(C31="","",J31*M31)</x:f>
      </x:c>
      <x:c r="O31" s="37"/>
      <x:c r="P31" s="42"/>
      <x:c r="Q31" s="37"/>
    </x:row>
    <x:row r="32">
      <x:c r="A32" s="37"/>
      <x:c r="B32" s="59" t="str">
        <x:f>IF(C32="","","ITM-"&amp;TEXT(ROW()-5,"0000"))</x:f>
      </x:c>
      <x:c r="C32" s="37"/>
      <x:c r="D32" s="37"/>
      <x:c r="E32" s="37"/>
      <x:c r="F32" s="37"/>
      <x:c r="G32" s="37"/>
      <x:c r="H32" s="37"/>
      <x:c r="I32" s="37"/>
      <x:c r="J32" s="59" t="str">
        <x:f>IF(C32="","",MAX(0,G32+H32-I32))</x:f>
      </x:c>
      <x:c r="K32" s="37"/>
      <x:c r="L32" s="59" t="str">
        <x:f>IF(C32="","",IF(J32&lt;=K32,"REORDER","OK"))</x:f>
      </x:c>
      <x:c r="M32" s="44"/>
      <x:c r="N32" s="76" t="str">
        <x:f>IF(C32="","",J32*M32)</x:f>
      </x:c>
      <x:c r="O32" s="37"/>
      <x:c r="P32" s="42"/>
      <x:c r="Q32" s="37"/>
    </x:row>
    <x:row r="33">
      <x:c r="A33" s="37"/>
      <x:c r="B33" s="59" t="str">
        <x:f>IF(C33="","","ITM-"&amp;TEXT(ROW()-5,"0000"))</x:f>
      </x:c>
      <x:c r="C33" s="37"/>
      <x:c r="D33" s="37"/>
      <x:c r="E33" s="37"/>
      <x:c r="F33" s="37"/>
      <x:c r="G33" s="37"/>
      <x:c r="H33" s="37"/>
      <x:c r="I33" s="37"/>
      <x:c r="J33" s="59" t="str">
        <x:f>IF(C33="","",MAX(0,G33+H33-I33))</x:f>
      </x:c>
      <x:c r="K33" s="37"/>
      <x:c r="L33" s="59" t="str">
        <x:f>IF(C33="","",IF(J33&lt;=K33,"REORDER","OK"))</x:f>
      </x:c>
      <x:c r="M33" s="44"/>
      <x:c r="N33" s="76" t="str">
        <x:f>IF(C33="","",J33*M33)</x:f>
      </x:c>
      <x:c r="O33" s="37"/>
      <x:c r="P33" s="42"/>
      <x:c r="Q33" s="37"/>
    </x:row>
    <x:row r="34">
      <x:c r="A34" s="37"/>
      <x:c r="B34" s="59" t="str">
        <x:f>IF(C34="","","ITM-"&amp;TEXT(ROW()-5,"0000"))</x:f>
      </x:c>
      <x:c r="C34" s="37"/>
      <x:c r="D34" s="37"/>
      <x:c r="E34" s="37"/>
      <x:c r="F34" s="37"/>
      <x:c r="G34" s="37"/>
      <x:c r="H34" s="37"/>
      <x:c r="I34" s="37"/>
      <x:c r="J34" s="59" t="str">
        <x:f>IF(C34="","",MAX(0,G34+H34-I34))</x:f>
      </x:c>
      <x:c r="K34" s="37"/>
      <x:c r="L34" s="59" t="str">
        <x:f>IF(C34="","",IF(J34&lt;=K34,"REORDER","OK"))</x:f>
      </x:c>
      <x:c r="M34" s="44"/>
      <x:c r="N34" s="76" t="str">
        <x:f>IF(C34="","",J34*M34)</x:f>
      </x:c>
      <x:c r="O34" s="37"/>
      <x:c r="P34" s="42"/>
      <x:c r="Q34" s="37"/>
    </x:row>
    <x:row r="35">
      <x:c r="A35" s="37"/>
      <x:c r="B35" s="59" t="str">
        <x:f>IF(C35="","","ITM-"&amp;TEXT(ROW()-5,"0000"))</x:f>
      </x:c>
      <x:c r="C35" s="37"/>
      <x:c r="D35" s="37"/>
      <x:c r="E35" s="37"/>
      <x:c r="F35" s="37"/>
      <x:c r="G35" s="37"/>
      <x:c r="H35" s="37"/>
      <x:c r="I35" s="37"/>
      <x:c r="J35" s="59" t="str">
        <x:f>IF(C35="","",MAX(0,G35+H35-I35))</x:f>
      </x:c>
      <x:c r="K35" s="37"/>
      <x:c r="L35" s="59" t="str">
        <x:f>IF(C35="","",IF(J35&lt;=K35,"REORDER","OK"))</x:f>
      </x:c>
      <x:c r="M35" s="44"/>
      <x:c r="N35" s="76" t="str">
        <x:f>IF(C35="","",J35*M35)</x:f>
      </x:c>
      <x:c r="O35" s="37"/>
      <x:c r="P35" s="42"/>
      <x:c r="Q35" s="37"/>
    </x:row>
    <x:row r="36">
      <x:c r="A36" s="37"/>
      <x:c r="B36" s="59" t="str">
        <x:f>IF(C36="","","ITM-"&amp;TEXT(ROW()-5,"0000"))</x:f>
      </x:c>
      <x:c r="C36" s="37"/>
      <x:c r="D36" s="37"/>
      <x:c r="E36" s="37"/>
      <x:c r="F36" s="37"/>
      <x:c r="G36" s="37"/>
      <x:c r="H36" s="37"/>
      <x:c r="I36" s="37"/>
      <x:c r="J36" s="59" t="str">
        <x:f>IF(C36="","",MAX(0,G36+H36-I36))</x:f>
      </x:c>
      <x:c r="K36" s="37"/>
      <x:c r="L36" s="59" t="str">
        <x:f>IF(C36="","",IF(J36&lt;=K36,"REORDER","OK"))</x:f>
      </x:c>
      <x:c r="M36" s="44"/>
      <x:c r="N36" s="76" t="str">
        <x:f>IF(C36="","",J36*M36)</x:f>
      </x:c>
      <x:c r="O36" s="37"/>
      <x:c r="P36" s="42"/>
      <x:c r="Q36" s="37"/>
    </x:row>
    <x:row r="37">
      <x:c r="A37" s="37"/>
      <x:c r="B37" s="59" t="str">
        <x:f>IF(C37="","","ITM-"&amp;TEXT(ROW()-5,"0000"))</x:f>
      </x:c>
      <x:c r="C37" s="37"/>
      <x:c r="D37" s="37"/>
      <x:c r="E37" s="37"/>
      <x:c r="F37" s="37"/>
      <x:c r="G37" s="37"/>
      <x:c r="H37" s="37"/>
      <x:c r="I37" s="37"/>
      <x:c r="J37" s="59" t="str">
        <x:f>IF(C37="","",MAX(0,G37+H37-I37))</x:f>
      </x:c>
      <x:c r="K37" s="37"/>
      <x:c r="L37" s="59" t="str">
        <x:f>IF(C37="","",IF(J37&lt;=K37,"REORDER","OK"))</x:f>
      </x:c>
      <x:c r="M37" s="44"/>
      <x:c r="N37" s="76" t="str">
        <x:f>IF(C37="","",J37*M37)</x:f>
      </x:c>
      <x:c r="O37" s="37"/>
      <x:c r="P37" s="42"/>
      <x:c r="Q37" s="37"/>
    </x:row>
    <x:row r="38">
      <x:c r="A38" s="37"/>
      <x:c r="B38" s="59" t="str">
        <x:f>IF(C38="","","ITM-"&amp;TEXT(ROW()-5,"0000"))</x:f>
      </x:c>
      <x:c r="C38" s="37"/>
      <x:c r="D38" s="37"/>
      <x:c r="E38" s="37"/>
      <x:c r="F38" s="37"/>
      <x:c r="G38" s="37"/>
      <x:c r="H38" s="37"/>
      <x:c r="I38" s="37"/>
      <x:c r="J38" s="59" t="str">
        <x:f>IF(C38="","",MAX(0,G38+H38-I38))</x:f>
      </x:c>
      <x:c r="K38" s="37"/>
      <x:c r="L38" s="59" t="str">
        <x:f>IF(C38="","",IF(J38&lt;=K38,"REORDER","OK"))</x:f>
      </x:c>
      <x:c r="M38" s="44"/>
      <x:c r="N38" s="76" t="str">
        <x:f>IF(C38="","",J38*M38)</x:f>
      </x:c>
      <x:c r="O38" s="37"/>
      <x:c r="P38" s="42"/>
      <x:c r="Q38" s="37"/>
    </x:row>
    <x:row r="39">
      <x:c r="A39" s="37"/>
      <x:c r="B39" s="59" t="str">
        <x:f>IF(C39="","","ITM-"&amp;TEXT(ROW()-5,"0000"))</x:f>
      </x:c>
      <x:c r="C39" s="37"/>
      <x:c r="D39" s="37"/>
      <x:c r="E39" s="37"/>
      <x:c r="F39" s="37"/>
      <x:c r="G39" s="37"/>
      <x:c r="H39" s="37"/>
      <x:c r="I39" s="37"/>
      <x:c r="J39" s="59" t="str">
        <x:f>IF(C39="","",MAX(0,G39+H39-I39))</x:f>
      </x:c>
      <x:c r="K39" s="37"/>
      <x:c r="L39" s="59" t="str">
        <x:f>IF(C39="","",IF(J39&lt;=K39,"REORDER","OK"))</x:f>
      </x:c>
      <x:c r="M39" s="44"/>
      <x:c r="N39" s="76" t="str">
        <x:f>IF(C39="","",J39*M39)</x:f>
      </x:c>
      <x:c r="O39" s="37"/>
      <x:c r="P39" s="42"/>
      <x:c r="Q39" s="37"/>
    </x:row>
    <x:row r="40">
      <x:c r="A40" s="37"/>
      <x:c r="B40" s="59" t="str">
        <x:f>IF(C40="","","ITM-"&amp;TEXT(ROW()-5,"0000"))</x:f>
      </x:c>
      <x:c r="C40" s="37"/>
      <x:c r="D40" s="37"/>
      <x:c r="E40" s="37"/>
      <x:c r="F40" s="37"/>
      <x:c r="G40" s="37"/>
      <x:c r="H40" s="37"/>
      <x:c r="I40" s="37"/>
      <x:c r="J40" s="59" t="str">
        <x:f>IF(C40="","",MAX(0,G40+H40-I40))</x:f>
      </x:c>
      <x:c r="K40" s="37"/>
      <x:c r="L40" s="59" t="str">
        <x:f>IF(C40="","",IF(J40&lt;=K40,"REORDER","OK"))</x:f>
      </x:c>
      <x:c r="M40" s="44"/>
      <x:c r="N40" s="76" t="str">
        <x:f>IF(C40="","",J40*M40)</x:f>
      </x:c>
      <x:c r="O40" s="37"/>
      <x:c r="P40" s="42"/>
      <x:c r="Q40" s="37"/>
    </x:row>
    <x:row r="41">
      <x:c r="A41" s="37"/>
      <x:c r="B41" s="59" t="str">
        <x:f>IF(C41="","","ITM-"&amp;TEXT(ROW()-5,"0000"))</x:f>
      </x:c>
      <x:c r="C41" s="37"/>
      <x:c r="D41" s="37"/>
      <x:c r="E41" s="37"/>
      <x:c r="F41" s="37"/>
      <x:c r="G41" s="37"/>
      <x:c r="H41" s="37"/>
      <x:c r="I41" s="37"/>
      <x:c r="J41" s="59" t="str">
        <x:f>IF(C41="","",MAX(0,G41+H41-I41))</x:f>
      </x:c>
      <x:c r="K41" s="37"/>
      <x:c r="L41" s="59" t="str">
        <x:f>IF(C41="","",IF(J41&lt;=K41,"REORDER","OK"))</x:f>
      </x:c>
      <x:c r="M41" s="44"/>
      <x:c r="N41" s="76" t="str">
        <x:f>IF(C41="","",J41*M41)</x:f>
      </x:c>
      <x:c r="O41" s="37"/>
      <x:c r="P41" s="42"/>
      <x:c r="Q41" s="37"/>
    </x:row>
    <x:row r="42">
      <x:c r="A42" s="37"/>
      <x:c r="B42" s="59" t="str">
        <x:f>IF(C42="","","ITM-"&amp;TEXT(ROW()-5,"0000"))</x:f>
      </x:c>
      <x:c r="C42" s="37"/>
      <x:c r="D42" s="37"/>
      <x:c r="E42" s="37"/>
      <x:c r="F42" s="37"/>
      <x:c r="G42" s="37"/>
      <x:c r="H42" s="37"/>
      <x:c r="I42" s="37"/>
      <x:c r="J42" s="59" t="str">
        <x:f>IF(C42="","",MAX(0,G42+H42-I42))</x:f>
      </x:c>
      <x:c r="K42" s="37"/>
      <x:c r="L42" s="59" t="str">
        <x:f>IF(C42="","",IF(J42&lt;=K42,"REORDER","OK"))</x:f>
      </x:c>
      <x:c r="M42" s="44"/>
      <x:c r="N42" s="76" t="str">
        <x:f>IF(C42="","",J42*M42)</x:f>
      </x:c>
      <x:c r="O42" s="37"/>
      <x:c r="P42" s="42"/>
      <x:c r="Q42" s="37"/>
    </x:row>
    <x:row r="43">
      <x:c r="A43" s="37"/>
      <x:c r="B43" s="59" t="str">
        <x:f>IF(C43="","","ITM-"&amp;TEXT(ROW()-5,"0000"))</x:f>
      </x:c>
      <x:c r="C43" s="37"/>
      <x:c r="D43" s="37"/>
      <x:c r="E43" s="37"/>
      <x:c r="F43" s="37"/>
      <x:c r="G43" s="37"/>
      <x:c r="H43" s="37"/>
      <x:c r="I43" s="37"/>
      <x:c r="J43" s="59" t="str">
        <x:f>IF(C43="","",MAX(0,G43+H43-I43))</x:f>
      </x:c>
      <x:c r="K43" s="37"/>
      <x:c r="L43" s="59" t="str">
        <x:f>IF(C43="","",IF(J43&lt;=K43,"REORDER","OK"))</x:f>
      </x:c>
      <x:c r="M43" s="44"/>
      <x:c r="N43" s="76" t="str">
        <x:f>IF(C43="","",J43*M43)</x:f>
      </x:c>
      <x:c r="O43" s="37"/>
      <x:c r="P43" s="42"/>
      <x:c r="Q43" s="37"/>
    </x:row>
    <x:row r="44">
      <x:c r="A44" s="37"/>
      <x:c r="B44" s="59" t="str">
        <x:f>IF(C44="","","ITM-"&amp;TEXT(ROW()-5,"0000"))</x:f>
      </x:c>
      <x:c r="C44" s="37"/>
      <x:c r="D44" s="37"/>
      <x:c r="E44" s="37"/>
      <x:c r="F44" s="37"/>
      <x:c r="G44" s="37"/>
      <x:c r="H44" s="37"/>
      <x:c r="I44" s="37"/>
      <x:c r="J44" s="59" t="str">
        <x:f>IF(C44="","",MAX(0,G44+H44-I44))</x:f>
      </x:c>
      <x:c r="K44" s="37"/>
      <x:c r="L44" s="59" t="str">
        <x:f>IF(C44="","",IF(J44&lt;=K44,"REORDER","OK"))</x:f>
      </x:c>
      <x:c r="M44" s="44"/>
      <x:c r="N44" s="76" t="str">
        <x:f>IF(C44="","",J44*M44)</x:f>
      </x:c>
      <x:c r="O44" s="37"/>
      <x:c r="P44" s="42"/>
      <x:c r="Q44" s="37"/>
    </x:row>
    <x:row r="45">
      <x:c r="A45" s="37"/>
      <x:c r="B45" s="59" t="str">
        <x:f>IF(C45="","","ITM-"&amp;TEXT(ROW()-5,"0000"))</x:f>
      </x:c>
      <x:c r="C45" s="37"/>
      <x:c r="D45" s="37"/>
      <x:c r="E45" s="37"/>
      <x:c r="F45" s="37"/>
      <x:c r="G45" s="37"/>
      <x:c r="H45" s="37"/>
      <x:c r="I45" s="37"/>
      <x:c r="J45" s="59" t="str">
        <x:f>IF(C45="","",MAX(0,G45+H45-I45))</x:f>
      </x:c>
      <x:c r="K45" s="37"/>
      <x:c r="L45" s="59" t="str">
        <x:f>IF(C45="","",IF(J45&lt;=K45,"REORDER","OK"))</x:f>
      </x:c>
      <x:c r="M45" s="44"/>
      <x:c r="N45" s="76" t="str">
        <x:f>IF(C45="","",J45*M45)</x:f>
      </x:c>
      <x:c r="O45" s="37"/>
      <x:c r="P45" s="42"/>
      <x:c r="Q45" s="37"/>
    </x:row>
    <x:row r="46">
      <x:c r="A46" s="37"/>
      <x:c r="B46" s="59" t="str">
        <x:f>IF(C46="","","ITM-"&amp;TEXT(ROW()-5,"0000"))</x:f>
      </x:c>
      <x:c r="C46" s="37"/>
      <x:c r="D46" s="37"/>
      <x:c r="E46" s="37"/>
      <x:c r="F46" s="37"/>
      <x:c r="G46" s="37"/>
      <x:c r="H46" s="37"/>
      <x:c r="I46" s="37"/>
      <x:c r="J46" s="59" t="str">
        <x:f>IF(C46="","",MAX(0,G46+H46-I46))</x:f>
      </x:c>
      <x:c r="K46" s="37"/>
      <x:c r="L46" s="59" t="str">
        <x:f>IF(C46="","",IF(J46&lt;=K46,"REORDER","OK"))</x:f>
      </x:c>
      <x:c r="M46" s="44"/>
      <x:c r="N46" s="76" t="str">
        <x:f>IF(C46="","",J46*M46)</x:f>
      </x:c>
      <x:c r="O46" s="37"/>
      <x:c r="P46" s="42"/>
      <x:c r="Q46" s="37"/>
    </x:row>
    <x:row r="47">
      <x:c r="A47" s="37"/>
      <x:c r="B47" s="59" t="str">
        <x:f>IF(C47="","","ITM-"&amp;TEXT(ROW()-5,"0000"))</x:f>
      </x:c>
      <x:c r="C47" s="37"/>
      <x:c r="D47" s="37"/>
      <x:c r="E47" s="37"/>
      <x:c r="F47" s="37"/>
      <x:c r="G47" s="37"/>
      <x:c r="H47" s="37"/>
      <x:c r="I47" s="37"/>
      <x:c r="J47" s="59" t="str">
        <x:f>IF(C47="","",MAX(0,G47+H47-I47))</x:f>
      </x:c>
      <x:c r="K47" s="37"/>
      <x:c r="L47" s="59" t="str">
        <x:f>IF(C47="","",IF(J47&lt;=K47,"REORDER","OK"))</x:f>
      </x:c>
      <x:c r="M47" s="44"/>
      <x:c r="N47" s="76" t="str">
        <x:f>IF(C47="","",J47*M47)</x:f>
      </x:c>
      <x:c r="O47" s="37"/>
      <x:c r="P47" s="42"/>
      <x:c r="Q47" s="37"/>
    </x:row>
    <x:row r="48">
      <x:c r="A48" s="37"/>
      <x:c r="B48" s="59" t="str">
        <x:f>IF(C48="","","ITM-"&amp;TEXT(ROW()-5,"0000"))</x:f>
      </x:c>
      <x:c r="C48" s="37"/>
      <x:c r="D48" s="37"/>
      <x:c r="E48" s="37"/>
      <x:c r="F48" s="37"/>
      <x:c r="G48" s="37"/>
      <x:c r="H48" s="37"/>
      <x:c r="I48" s="37"/>
      <x:c r="J48" s="59" t="str">
        <x:f>IF(C48="","",MAX(0,G48+H48-I48))</x:f>
      </x:c>
      <x:c r="K48" s="37"/>
      <x:c r="L48" s="59" t="str">
        <x:f>IF(C48="","",IF(J48&lt;=K48,"REORDER","OK"))</x:f>
      </x:c>
      <x:c r="M48" s="44"/>
      <x:c r="N48" s="76" t="str">
        <x:f>IF(C48="","",J48*M48)</x:f>
      </x:c>
      <x:c r="O48" s="37"/>
      <x:c r="P48" s="42"/>
      <x:c r="Q48" s="37"/>
    </x:row>
    <x:row r="49">
      <x:c r="A49" s="37"/>
      <x:c r="B49" s="59" t="str">
        <x:f>IF(C49="","","ITM-"&amp;TEXT(ROW()-5,"0000"))</x:f>
      </x:c>
      <x:c r="C49" s="37"/>
      <x:c r="D49" s="37"/>
      <x:c r="E49" s="37"/>
      <x:c r="F49" s="37"/>
      <x:c r="G49" s="37"/>
      <x:c r="H49" s="37"/>
      <x:c r="I49" s="37"/>
      <x:c r="J49" s="59" t="str">
        <x:f>IF(C49="","",MAX(0,G49+H49-I49))</x:f>
      </x:c>
      <x:c r="K49" s="37"/>
      <x:c r="L49" s="59" t="str">
        <x:f>IF(C49="","",IF(J49&lt;=K49,"REORDER","OK"))</x:f>
      </x:c>
      <x:c r="M49" s="44"/>
      <x:c r="N49" s="76" t="str">
        <x:f>IF(C49="","",J49*M49)</x:f>
      </x:c>
      <x:c r="O49" s="37"/>
      <x:c r="P49" s="42"/>
      <x:c r="Q49" s="37"/>
    </x:row>
    <x:row r="50">
      <x:c r="A50" s="37"/>
      <x:c r="B50" s="59" t="str">
        <x:f>IF(C50="","","ITM-"&amp;TEXT(ROW()-5,"0000"))</x:f>
      </x:c>
      <x:c r="C50" s="37"/>
      <x:c r="D50" s="37"/>
      <x:c r="E50" s="37"/>
      <x:c r="F50" s="37"/>
      <x:c r="G50" s="37"/>
      <x:c r="H50" s="37"/>
      <x:c r="I50" s="37"/>
      <x:c r="J50" s="59" t="str">
        <x:f>IF(C50="","",MAX(0,G50+H50-I50))</x:f>
      </x:c>
      <x:c r="K50" s="37"/>
      <x:c r="L50" s="59" t="str">
        <x:f>IF(C50="","",IF(J50&lt;=K50,"REORDER","OK"))</x:f>
      </x:c>
      <x:c r="M50" s="44"/>
      <x:c r="N50" s="76" t="str">
        <x:f>IF(C50="","",J50*M50)</x:f>
      </x:c>
      <x:c r="O50" s="37"/>
      <x:c r="P50" s="42"/>
      <x:c r="Q50" s="37"/>
    </x:row>
    <x:row r="51">
      <x:c r="A51" s="37"/>
      <x:c r="B51" s="59" t="str">
        <x:f>IF(C51="","","ITM-"&amp;TEXT(ROW()-5,"0000"))</x:f>
      </x:c>
      <x:c r="C51" s="37"/>
      <x:c r="D51" s="37"/>
      <x:c r="E51" s="37"/>
      <x:c r="F51" s="37"/>
      <x:c r="G51" s="37"/>
      <x:c r="H51" s="37"/>
      <x:c r="I51" s="37"/>
      <x:c r="J51" s="59" t="str">
        <x:f>IF(C51="","",MAX(0,G51+H51-I51))</x:f>
      </x:c>
      <x:c r="K51" s="37"/>
      <x:c r="L51" s="59" t="str">
        <x:f>IF(C51="","",IF(J51&lt;=K51,"REORDER","OK"))</x:f>
      </x:c>
      <x:c r="M51" s="44"/>
      <x:c r="N51" s="76" t="str">
        <x:f>IF(C51="","",J51*M51)</x:f>
      </x:c>
      <x:c r="O51" s="37"/>
      <x:c r="P51" s="42"/>
      <x:c r="Q51" s="37"/>
    </x:row>
    <x:row r="52">
      <x:c r="A52" s="37"/>
      <x:c r="B52" s="59" t="str">
        <x:f>IF(C52="","","ITM-"&amp;TEXT(ROW()-5,"0000"))</x:f>
      </x:c>
      <x:c r="C52" s="37"/>
      <x:c r="D52" s="37"/>
      <x:c r="E52" s="37"/>
      <x:c r="F52" s="37"/>
      <x:c r="G52" s="37"/>
      <x:c r="H52" s="37"/>
      <x:c r="I52" s="37"/>
      <x:c r="J52" s="59" t="str">
        <x:f>IF(C52="","",MAX(0,G52+H52-I52))</x:f>
      </x:c>
      <x:c r="K52" s="37"/>
      <x:c r="L52" s="59" t="str">
        <x:f>IF(C52="","",IF(J52&lt;=K52,"REORDER","OK"))</x:f>
      </x:c>
      <x:c r="M52" s="44"/>
      <x:c r="N52" s="76" t="str">
        <x:f>IF(C52="","",J52*M52)</x:f>
      </x:c>
      <x:c r="O52" s="37"/>
      <x:c r="P52" s="42"/>
      <x:c r="Q52" s="37"/>
    </x:row>
    <x:row r="53">
      <x:c r="A53" s="37"/>
      <x:c r="B53" s="59" t="str">
        <x:f>IF(C53="","","ITM-"&amp;TEXT(ROW()-5,"0000"))</x:f>
      </x:c>
      <x:c r="C53" s="37"/>
      <x:c r="D53" s="37"/>
      <x:c r="E53" s="37"/>
      <x:c r="F53" s="37"/>
      <x:c r="G53" s="37"/>
      <x:c r="H53" s="37"/>
      <x:c r="I53" s="37"/>
      <x:c r="J53" s="59" t="str">
        <x:f>IF(C53="","",MAX(0,G53+H53-I53))</x:f>
      </x:c>
      <x:c r="K53" s="37"/>
      <x:c r="L53" s="59" t="str">
        <x:f>IF(C53="","",IF(J53&lt;=K53,"REORDER","OK"))</x:f>
      </x:c>
      <x:c r="M53" s="44"/>
      <x:c r="N53" s="76" t="str">
        <x:f>IF(C53="","",J53*M53)</x:f>
      </x:c>
      <x:c r="O53" s="37"/>
      <x:c r="P53" s="42"/>
      <x:c r="Q53" s="37"/>
    </x:row>
    <x:row r="54">
      <x:c r="A54" s="37"/>
      <x:c r="B54" s="59" t="str">
        <x:f>IF(C54="","","ITM-"&amp;TEXT(ROW()-5,"0000"))</x:f>
      </x:c>
      <x:c r="C54" s="37"/>
      <x:c r="D54" s="37"/>
      <x:c r="E54" s="37"/>
      <x:c r="F54" s="37"/>
      <x:c r="G54" s="37"/>
      <x:c r="H54" s="37"/>
      <x:c r="I54" s="37"/>
      <x:c r="J54" s="59" t="str">
        <x:f>IF(C54="","",MAX(0,G54+H54-I54))</x:f>
      </x:c>
      <x:c r="K54" s="37"/>
      <x:c r="L54" s="59" t="str">
        <x:f>IF(C54="","",IF(J54&lt;=K54,"REORDER","OK"))</x:f>
      </x:c>
      <x:c r="M54" s="44"/>
      <x:c r="N54" s="76" t="str">
        <x:f>IF(C54="","",J54*M54)</x:f>
      </x:c>
      <x:c r="O54" s="37"/>
      <x:c r="P54" s="42"/>
      <x:c r="Q54" s="37"/>
    </x:row>
    <x:row r="55">
      <x:c r="A55" s="37"/>
      <x:c r="B55" s="59" t="str">
        <x:f>IF(C55="","","ITM-"&amp;TEXT(ROW()-5,"0000"))</x:f>
      </x:c>
      <x:c r="C55" s="37"/>
      <x:c r="D55" s="37"/>
      <x:c r="E55" s="37"/>
      <x:c r="F55" s="37"/>
      <x:c r="G55" s="37"/>
      <x:c r="H55" s="37"/>
      <x:c r="I55" s="37"/>
      <x:c r="J55" s="59" t="str">
        <x:f>IF(C55="","",MAX(0,G55+H55-I55))</x:f>
      </x:c>
      <x:c r="K55" s="37"/>
      <x:c r="L55" s="59" t="str">
        <x:f>IF(C55="","",IF(J55&lt;=K55,"REORDER","OK"))</x:f>
      </x:c>
      <x:c r="M55" s="44"/>
      <x:c r="N55" s="76" t="str">
        <x:f>IF(C55="","",J55*M55)</x:f>
      </x:c>
      <x:c r="O55" s="37"/>
      <x:c r="P55" s="42"/>
      <x:c r="Q55" s="37"/>
    </x:row>
    <x:row r="56">
      <x:c r="A56" s="37"/>
      <x:c r="B56" s="59" t="str">
        <x:f>IF(C56="","","ITM-"&amp;TEXT(ROW()-5,"0000"))</x:f>
      </x:c>
      <x:c r="C56" s="37"/>
      <x:c r="D56" s="37"/>
      <x:c r="E56" s="37"/>
      <x:c r="F56" s="37"/>
      <x:c r="G56" s="37"/>
      <x:c r="H56" s="37"/>
      <x:c r="I56" s="37"/>
      <x:c r="J56" s="59" t="str">
        <x:f>IF(C56="","",MAX(0,G56+H56-I56))</x:f>
      </x:c>
      <x:c r="K56" s="37"/>
      <x:c r="L56" s="59" t="str">
        <x:f>IF(C56="","",IF(J56&lt;=K56,"REORDER","OK"))</x:f>
      </x:c>
      <x:c r="M56" s="44"/>
      <x:c r="N56" s="76" t="str">
        <x:f>IF(C56="","",J56*M56)</x:f>
      </x:c>
      <x:c r="O56" s="37"/>
      <x:c r="P56" s="42"/>
      <x:c r="Q56" s="37"/>
    </x:row>
    <x:row r="57">
      <x:c r="A57" s="37"/>
      <x:c r="B57" s="59" t="str">
        <x:f>IF(C57="","","ITM-"&amp;TEXT(ROW()-5,"0000"))</x:f>
      </x:c>
      <x:c r="C57" s="37"/>
      <x:c r="D57" s="37"/>
      <x:c r="E57" s="37"/>
      <x:c r="F57" s="37"/>
      <x:c r="G57" s="37"/>
      <x:c r="H57" s="37"/>
      <x:c r="I57" s="37"/>
      <x:c r="J57" s="59" t="str">
        <x:f>IF(C57="","",MAX(0,G57+H57-I57))</x:f>
      </x:c>
      <x:c r="K57" s="37"/>
      <x:c r="L57" s="59" t="str">
        <x:f>IF(C57="","",IF(J57&lt;=K57,"REORDER","OK"))</x:f>
      </x:c>
      <x:c r="M57" s="44"/>
      <x:c r="N57" s="76" t="str">
        <x:f>IF(C57="","",J57*M57)</x:f>
      </x:c>
      <x:c r="O57" s="37"/>
      <x:c r="P57" s="42"/>
      <x:c r="Q57" s="37"/>
    </x:row>
    <x:row r="58">
      <x:c r="A58" s="37"/>
      <x:c r="B58" s="59" t="str">
        <x:f>IF(C58="","","ITM-"&amp;TEXT(ROW()-5,"0000"))</x:f>
      </x:c>
      <x:c r="C58" s="37"/>
      <x:c r="D58" s="37"/>
      <x:c r="E58" s="37"/>
      <x:c r="F58" s="37"/>
      <x:c r="G58" s="37"/>
      <x:c r="H58" s="37"/>
      <x:c r="I58" s="37"/>
      <x:c r="J58" s="59" t="str">
        <x:f>IF(C58="","",MAX(0,G58+H58-I58))</x:f>
      </x:c>
      <x:c r="K58" s="37"/>
      <x:c r="L58" s="59" t="str">
        <x:f>IF(C58="","",IF(J58&lt;=K58,"REORDER","OK"))</x:f>
      </x:c>
      <x:c r="M58" s="44"/>
      <x:c r="N58" s="76" t="str">
        <x:f>IF(C58="","",J58*M58)</x:f>
      </x:c>
      <x:c r="O58" s="37"/>
      <x:c r="P58" s="42"/>
      <x:c r="Q58" s="37"/>
    </x:row>
    <x:row r="59">
      <x:c r="A59" s="37"/>
      <x:c r="B59" s="59" t="str">
        <x:f>IF(C59="","","ITM-"&amp;TEXT(ROW()-5,"0000"))</x:f>
      </x:c>
      <x:c r="C59" s="37"/>
      <x:c r="D59" s="37"/>
      <x:c r="E59" s="37"/>
      <x:c r="F59" s="37"/>
      <x:c r="G59" s="37"/>
      <x:c r="H59" s="37"/>
      <x:c r="I59" s="37"/>
      <x:c r="J59" s="59" t="str">
        <x:f>IF(C59="","",MAX(0,G59+H59-I59))</x:f>
      </x:c>
      <x:c r="K59" s="37"/>
      <x:c r="L59" s="59" t="str">
        <x:f>IF(C59="","",IF(J59&lt;=K59,"REORDER","OK"))</x:f>
      </x:c>
      <x:c r="M59" s="44"/>
      <x:c r="N59" s="76" t="str">
        <x:f>IF(C59="","",J59*M59)</x:f>
      </x:c>
      <x:c r="O59" s="37"/>
      <x:c r="P59" s="42"/>
      <x:c r="Q59" s="37"/>
    </x:row>
    <x:row r="60">
      <x:c r="A60" s="37"/>
      <x:c r="B60" s="59" t="str">
        <x:f>IF(C60="","","ITM-"&amp;TEXT(ROW()-5,"0000"))</x:f>
      </x:c>
      <x:c r="C60" s="37"/>
      <x:c r="D60" s="37"/>
      <x:c r="E60" s="37"/>
      <x:c r="F60" s="37"/>
      <x:c r="G60" s="37"/>
      <x:c r="H60" s="37"/>
      <x:c r="I60" s="37"/>
      <x:c r="J60" s="59" t="str">
        <x:f>IF(C60="","",MAX(0,G60+H60-I60))</x:f>
      </x:c>
      <x:c r="K60" s="37"/>
      <x:c r="L60" s="59" t="str">
        <x:f>IF(C60="","",IF(J60&lt;=K60,"REORDER","OK"))</x:f>
      </x:c>
      <x:c r="M60" s="44"/>
      <x:c r="N60" s="76" t="str">
        <x:f>IF(C60="","",J60*M60)</x:f>
      </x:c>
      <x:c r="O60" s="37"/>
      <x:c r="P60" s="42"/>
      <x:c r="Q60" s="37"/>
    </x:row>
    <x:row r="61">
      <x:c r="A61" s="37"/>
      <x:c r="B61" s="59" t="str">
        <x:f>IF(C61="","","ITM-"&amp;TEXT(ROW()-5,"0000"))</x:f>
      </x:c>
      <x:c r="C61" s="37"/>
      <x:c r="D61" s="37"/>
      <x:c r="E61" s="37"/>
      <x:c r="F61" s="37"/>
      <x:c r="G61" s="37"/>
      <x:c r="H61" s="37"/>
      <x:c r="I61" s="37"/>
      <x:c r="J61" s="59" t="str">
        <x:f>IF(C61="","",MAX(0,G61+H61-I61))</x:f>
      </x:c>
      <x:c r="K61" s="37"/>
      <x:c r="L61" s="59" t="str">
        <x:f>IF(C61="","",IF(J61&lt;=K61,"REORDER","OK"))</x:f>
      </x:c>
      <x:c r="M61" s="44"/>
      <x:c r="N61" s="76" t="str">
        <x:f>IF(C61="","",J61*M61)</x:f>
      </x:c>
      <x:c r="O61" s="37"/>
      <x:c r="P61" s="42"/>
      <x:c r="Q61" s="37"/>
    </x:row>
    <x:row r="62">
      <x:c r="A62" s="37"/>
      <x:c r="B62" s="59" t="str">
        <x:f>IF(C62="","","ITM-"&amp;TEXT(ROW()-5,"0000"))</x:f>
      </x:c>
      <x:c r="C62" s="37"/>
      <x:c r="D62" s="37"/>
      <x:c r="E62" s="37"/>
      <x:c r="F62" s="37"/>
      <x:c r="G62" s="37"/>
      <x:c r="H62" s="37"/>
      <x:c r="I62" s="37"/>
      <x:c r="J62" s="59" t="str">
        <x:f>IF(C62="","",MAX(0,G62+H62-I62))</x:f>
      </x:c>
      <x:c r="K62" s="37"/>
      <x:c r="L62" s="59" t="str">
        <x:f>IF(C62="","",IF(J62&lt;=K62,"REORDER","OK"))</x:f>
      </x:c>
      <x:c r="M62" s="44"/>
      <x:c r="N62" s="76" t="str">
        <x:f>IF(C62="","",J62*M62)</x:f>
      </x:c>
      <x:c r="O62" s="37"/>
      <x:c r="P62" s="42"/>
      <x:c r="Q62" s="37"/>
    </x:row>
    <x:row r="63">
      <x:c r="A63" s="37"/>
      <x:c r="B63" s="59" t="str">
        <x:f>IF(C63="","","ITM-"&amp;TEXT(ROW()-5,"0000"))</x:f>
      </x:c>
      <x:c r="C63" s="37"/>
      <x:c r="D63" s="37"/>
      <x:c r="E63" s="37"/>
      <x:c r="F63" s="37"/>
      <x:c r="G63" s="37"/>
      <x:c r="H63" s="37"/>
      <x:c r="I63" s="37"/>
      <x:c r="J63" s="59" t="str">
        <x:f>IF(C63="","",MAX(0,G63+H63-I63))</x:f>
      </x:c>
      <x:c r="K63" s="37"/>
      <x:c r="L63" s="59" t="str">
        <x:f>IF(C63="","",IF(J63&lt;=K63,"REORDER","OK"))</x:f>
      </x:c>
      <x:c r="M63" s="44"/>
      <x:c r="N63" s="76" t="str">
        <x:f>IF(C63="","",J63*M63)</x:f>
      </x:c>
      <x:c r="O63" s="37"/>
      <x:c r="P63" s="42"/>
      <x:c r="Q63" s="37"/>
    </x:row>
    <x:row r="64">
      <x:c r="A64" s="37"/>
      <x:c r="B64" s="59" t="str">
        <x:f>IF(C64="","","ITM-"&amp;TEXT(ROW()-5,"0000"))</x:f>
      </x:c>
      <x:c r="C64" s="37"/>
      <x:c r="D64" s="37"/>
      <x:c r="E64" s="37"/>
      <x:c r="F64" s="37"/>
      <x:c r="G64" s="37"/>
      <x:c r="H64" s="37"/>
      <x:c r="I64" s="37"/>
      <x:c r="J64" s="59" t="str">
        <x:f>IF(C64="","",MAX(0,G64+H64-I64))</x:f>
      </x:c>
      <x:c r="K64" s="37"/>
      <x:c r="L64" s="59" t="str">
        <x:f>IF(C64="","",IF(J64&lt;=K64,"REORDER","OK"))</x:f>
      </x:c>
      <x:c r="M64" s="44"/>
      <x:c r="N64" s="76" t="str">
        <x:f>IF(C64="","",J64*M64)</x:f>
      </x:c>
      <x:c r="O64" s="37"/>
      <x:c r="P64" s="42"/>
      <x:c r="Q64" s="37"/>
    </x:row>
    <x:row r="65">
      <x:c r="A65" s="37"/>
      <x:c r="B65" s="59" t="str">
        <x:f>IF(C65="","","ITM-"&amp;TEXT(ROW()-5,"0000"))</x:f>
      </x:c>
      <x:c r="C65" s="37"/>
      <x:c r="D65" s="37"/>
      <x:c r="E65" s="37"/>
      <x:c r="F65" s="37"/>
      <x:c r="G65" s="37"/>
      <x:c r="H65" s="37"/>
      <x:c r="I65" s="37"/>
      <x:c r="J65" s="59" t="str">
        <x:f>IF(C65="","",MAX(0,G65+H65-I65))</x:f>
      </x:c>
      <x:c r="K65" s="37"/>
      <x:c r="L65" s="59" t="str">
        <x:f>IF(C65="","",IF(J65&lt;=K65,"REORDER","OK"))</x:f>
      </x:c>
      <x:c r="M65" s="44"/>
      <x:c r="N65" s="76" t="str">
        <x:f>IF(C65="","",J65*M65)</x:f>
      </x:c>
      <x:c r="O65" s="37"/>
      <x:c r="P65" s="42"/>
      <x:c r="Q65" s="37"/>
    </x:row>
    <x:row r="66">
      <x:c r="A66" s="37"/>
      <x:c r="B66" s="59" t="str">
        <x:f>IF(C66="","","ITM-"&amp;TEXT(ROW()-5,"0000"))</x:f>
      </x:c>
      <x:c r="C66" s="37"/>
      <x:c r="D66" s="37"/>
      <x:c r="E66" s="37"/>
      <x:c r="F66" s="37"/>
      <x:c r="G66" s="37"/>
      <x:c r="H66" s="37"/>
      <x:c r="I66" s="37"/>
      <x:c r="J66" s="59" t="str">
        <x:f>IF(C66="","",MAX(0,G66+H66-I66))</x:f>
      </x:c>
      <x:c r="K66" s="37"/>
      <x:c r="L66" s="59" t="str">
        <x:f>IF(C66="","",IF(J66&lt;=K66,"REORDER","OK"))</x:f>
      </x:c>
      <x:c r="M66" s="44"/>
      <x:c r="N66" s="76" t="str">
        <x:f>IF(C66="","",J66*M66)</x:f>
      </x:c>
      <x:c r="O66" s="37"/>
      <x:c r="P66" s="42"/>
      <x:c r="Q66" s="37"/>
    </x:row>
    <x:row r="67">
      <x:c r="A67" s="37"/>
      <x:c r="B67" s="59" t="str">
        <x:f>IF(C67="","","ITM-"&amp;TEXT(ROW()-5,"0000"))</x:f>
      </x:c>
      <x:c r="C67" s="37"/>
      <x:c r="D67" s="37"/>
      <x:c r="E67" s="37"/>
      <x:c r="F67" s="37"/>
      <x:c r="G67" s="37"/>
      <x:c r="H67" s="37"/>
      <x:c r="I67" s="37"/>
      <x:c r="J67" s="59" t="str">
        <x:f>IF(C67="","",MAX(0,G67+H67-I67))</x:f>
      </x:c>
      <x:c r="K67" s="37"/>
      <x:c r="L67" s="59" t="str">
        <x:f>IF(C67="","",IF(J67&lt;=K67,"REORDER","OK"))</x:f>
      </x:c>
      <x:c r="M67" s="44"/>
      <x:c r="N67" s="76" t="str">
        <x:f>IF(C67="","",J67*M67)</x:f>
      </x:c>
      <x:c r="O67" s="37"/>
      <x:c r="P67" s="42"/>
      <x:c r="Q67" s="37"/>
    </x:row>
    <x:row r="68">
      <x:c r="A68" s="37"/>
      <x:c r="B68" s="59" t="str">
        <x:f>IF(C68="","","ITM-"&amp;TEXT(ROW()-5,"0000"))</x:f>
      </x:c>
      <x:c r="C68" s="37"/>
      <x:c r="D68" s="37"/>
      <x:c r="E68" s="37"/>
      <x:c r="F68" s="37"/>
      <x:c r="G68" s="37"/>
      <x:c r="H68" s="37"/>
      <x:c r="I68" s="37"/>
      <x:c r="J68" s="59" t="str">
        <x:f>IF(C68="","",MAX(0,G68+H68-I68))</x:f>
      </x:c>
      <x:c r="K68" s="37"/>
      <x:c r="L68" s="59" t="str">
        <x:f>IF(C68="","",IF(J68&lt;=K68,"REORDER","OK"))</x:f>
      </x:c>
      <x:c r="M68" s="44"/>
      <x:c r="N68" s="76" t="str">
        <x:f>IF(C68="","",J68*M68)</x:f>
      </x:c>
      <x:c r="O68" s="37"/>
      <x:c r="P68" s="42"/>
      <x:c r="Q68" s="37"/>
    </x:row>
    <x:row r="69">
      <x:c r="A69" s="37"/>
      <x:c r="B69" s="59" t="str">
        <x:f>IF(C69="","","ITM-"&amp;TEXT(ROW()-5,"0000"))</x:f>
      </x:c>
      <x:c r="C69" s="37"/>
      <x:c r="D69" s="37"/>
      <x:c r="E69" s="37"/>
      <x:c r="F69" s="37"/>
      <x:c r="G69" s="37"/>
      <x:c r="H69" s="37"/>
      <x:c r="I69" s="37"/>
      <x:c r="J69" s="59" t="str">
        <x:f>IF(C69="","",MAX(0,G69+H69-I69))</x:f>
      </x:c>
      <x:c r="K69" s="37"/>
      <x:c r="L69" s="59" t="str">
        <x:f>IF(C69="","",IF(J69&lt;=K69,"REORDER","OK"))</x:f>
      </x:c>
      <x:c r="M69" s="44"/>
      <x:c r="N69" s="76" t="str">
        <x:f>IF(C69="","",J69*M69)</x:f>
      </x:c>
      <x:c r="O69" s="37"/>
      <x:c r="P69" s="42"/>
      <x:c r="Q69" s="37"/>
    </x:row>
    <x:row r="70">
      <x:c r="A70" s="37"/>
      <x:c r="B70" s="59" t="str">
        <x:f>IF(C70="","","ITM-"&amp;TEXT(ROW()-5,"0000"))</x:f>
      </x:c>
      <x:c r="C70" s="37"/>
      <x:c r="D70" s="37"/>
      <x:c r="E70" s="37"/>
      <x:c r="F70" s="37"/>
      <x:c r="G70" s="37"/>
      <x:c r="H70" s="37"/>
      <x:c r="I70" s="37"/>
      <x:c r="J70" s="59" t="str">
        <x:f>IF(C70="","",MAX(0,G70+H70-I70))</x:f>
      </x:c>
      <x:c r="K70" s="37"/>
      <x:c r="L70" s="59" t="str">
        <x:f>IF(C70="","",IF(J70&lt;=K70,"REORDER","OK"))</x:f>
      </x:c>
      <x:c r="M70" s="44"/>
      <x:c r="N70" s="76" t="str">
        <x:f>IF(C70="","",J70*M70)</x:f>
      </x:c>
      <x:c r="O70" s="37"/>
      <x:c r="P70" s="42"/>
      <x:c r="Q70" s="37"/>
    </x:row>
    <x:row r="71">
      <x:c r="A71" s="37"/>
      <x:c r="B71" s="59" t="str">
        <x:f>IF(C71="","","ITM-"&amp;TEXT(ROW()-5,"0000"))</x:f>
      </x:c>
      <x:c r="C71" s="37"/>
      <x:c r="D71" s="37"/>
      <x:c r="E71" s="37"/>
      <x:c r="F71" s="37"/>
      <x:c r="G71" s="37"/>
      <x:c r="H71" s="37"/>
      <x:c r="I71" s="37"/>
      <x:c r="J71" s="59" t="str">
        <x:f>IF(C71="","",MAX(0,G71+H71-I71))</x:f>
      </x:c>
      <x:c r="K71" s="37"/>
      <x:c r="L71" s="59" t="str">
        <x:f>IF(C71="","",IF(J71&lt;=K71,"REORDER","OK"))</x:f>
      </x:c>
      <x:c r="M71" s="44"/>
      <x:c r="N71" s="76" t="str">
        <x:f>IF(C71="","",J71*M71)</x:f>
      </x:c>
      <x:c r="O71" s="37"/>
      <x:c r="P71" s="42"/>
      <x:c r="Q71" s="37"/>
    </x:row>
    <x:row r="72">
      <x:c r="A72" s="37"/>
      <x:c r="B72" s="59" t="str">
        <x:f>IF(C72="","","ITM-"&amp;TEXT(ROW()-5,"0000"))</x:f>
      </x:c>
      <x:c r="C72" s="37"/>
      <x:c r="D72" s="37"/>
      <x:c r="E72" s="37"/>
      <x:c r="F72" s="37"/>
      <x:c r="G72" s="37"/>
      <x:c r="H72" s="37"/>
      <x:c r="I72" s="37"/>
      <x:c r="J72" s="59" t="str">
        <x:f>IF(C72="","",MAX(0,G72+H72-I72))</x:f>
      </x:c>
      <x:c r="K72" s="37"/>
      <x:c r="L72" s="59" t="str">
        <x:f>IF(C72="","",IF(J72&lt;=K72,"REORDER","OK"))</x:f>
      </x:c>
      <x:c r="M72" s="44"/>
      <x:c r="N72" s="76" t="str">
        <x:f>IF(C72="","",J72*M72)</x:f>
      </x:c>
      <x:c r="O72" s="37"/>
      <x:c r="P72" s="42"/>
      <x:c r="Q72" s="37"/>
    </x:row>
    <x:row r="73">
      <x:c r="A73" s="37"/>
      <x:c r="B73" s="59" t="str">
        <x:f>IF(C73="","","ITM-"&amp;TEXT(ROW()-5,"0000"))</x:f>
      </x:c>
      <x:c r="C73" s="37"/>
      <x:c r="D73" s="37"/>
      <x:c r="E73" s="37"/>
      <x:c r="F73" s="37"/>
      <x:c r="G73" s="37"/>
      <x:c r="H73" s="37"/>
      <x:c r="I73" s="37"/>
      <x:c r="J73" s="59" t="str">
        <x:f>IF(C73="","",MAX(0,G73+H73-I73))</x:f>
      </x:c>
      <x:c r="K73" s="37"/>
      <x:c r="L73" s="59" t="str">
        <x:f>IF(C73="","",IF(J73&lt;=K73,"REORDER","OK"))</x:f>
      </x:c>
      <x:c r="M73" s="44"/>
      <x:c r="N73" s="76" t="str">
        <x:f>IF(C73="","",J73*M73)</x:f>
      </x:c>
      <x:c r="O73" s="37"/>
      <x:c r="P73" s="42"/>
      <x:c r="Q73" s="37"/>
    </x:row>
    <x:row r="74">
      <x:c r="A74" s="37"/>
      <x:c r="B74" s="59" t="str">
        <x:f>IF(C74="","","ITM-"&amp;TEXT(ROW()-5,"0000"))</x:f>
      </x:c>
      <x:c r="C74" s="37"/>
      <x:c r="D74" s="37"/>
      <x:c r="E74" s="37"/>
      <x:c r="F74" s="37"/>
      <x:c r="G74" s="37"/>
      <x:c r="H74" s="37"/>
      <x:c r="I74" s="37"/>
      <x:c r="J74" s="59" t="str">
        <x:f>IF(C74="","",MAX(0,G74+H74-I74))</x:f>
      </x:c>
      <x:c r="K74" s="37"/>
      <x:c r="L74" s="59" t="str">
        <x:f>IF(C74="","",IF(J74&lt;=K74,"REORDER","OK"))</x:f>
      </x:c>
      <x:c r="M74" s="44"/>
      <x:c r="N74" s="76" t="str">
        <x:f>IF(C74="","",J74*M74)</x:f>
      </x:c>
      <x:c r="O74" s="37"/>
      <x:c r="P74" s="42"/>
      <x:c r="Q74" s="37"/>
    </x:row>
    <x:row r="75">
      <x:c r="A75" s="37"/>
      <x:c r="B75" s="59" t="str">
        <x:f>IF(C75="","","ITM-"&amp;TEXT(ROW()-5,"0000"))</x:f>
      </x:c>
      <x:c r="C75" s="37"/>
      <x:c r="D75" s="37"/>
      <x:c r="E75" s="37"/>
      <x:c r="F75" s="37"/>
      <x:c r="G75" s="37"/>
      <x:c r="H75" s="37"/>
      <x:c r="I75" s="37"/>
      <x:c r="J75" s="59" t="str">
        <x:f>IF(C75="","",MAX(0,G75+H75-I75))</x:f>
      </x:c>
      <x:c r="K75" s="37"/>
      <x:c r="L75" s="59" t="str">
        <x:f>IF(C75="","",IF(J75&lt;=K75,"REORDER","OK"))</x:f>
      </x:c>
      <x:c r="M75" s="44"/>
      <x:c r="N75" s="76" t="str">
        <x:f>IF(C75="","",J75*M75)</x:f>
      </x:c>
      <x:c r="O75" s="37"/>
      <x:c r="P75" s="42"/>
      <x:c r="Q75" s="37"/>
    </x:row>
    <x:row r="76">
      <x:c r="A76" s="37"/>
      <x:c r="B76" s="59" t="str">
        <x:f>IF(C76="","","ITM-"&amp;TEXT(ROW()-5,"0000"))</x:f>
      </x:c>
      <x:c r="C76" s="37"/>
      <x:c r="D76" s="37"/>
      <x:c r="E76" s="37"/>
      <x:c r="F76" s="37"/>
      <x:c r="G76" s="37"/>
      <x:c r="H76" s="37"/>
      <x:c r="I76" s="37"/>
      <x:c r="J76" s="59" t="str">
        <x:f>IF(C76="","",MAX(0,G76+H76-I76))</x:f>
      </x:c>
      <x:c r="K76" s="37"/>
      <x:c r="L76" s="59" t="str">
        <x:f>IF(C76="","",IF(J76&lt;=K76,"REORDER","OK"))</x:f>
      </x:c>
      <x:c r="M76" s="44"/>
      <x:c r="N76" s="76" t="str">
        <x:f>IF(C76="","",J76*M76)</x:f>
      </x:c>
      <x:c r="O76" s="37"/>
      <x:c r="P76" s="42"/>
      <x:c r="Q76" s="37"/>
    </x:row>
    <x:row r="77">
      <x:c r="A77" s="37"/>
      <x:c r="B77" s="59" t="str">
        <x:f>IF(C77="","","ITM-"&amp;TEXT(ROW()-5,"0000"))</x:f>
      </x:c>
      <x:c r="C77" s="37"/>
      <x:c r="D77" s="37"/>
      <x:c r="E77" s="37"/>
      <x:c r="F77" s="37"/>
      <x:c r="G77" s="37"/>
      <x:c r="H77" s="37"/>
      <x:c r="I77" s="37"/>
      <x:c r="J77" s="59" t="str">
        <x:f>IF(C77="","",MAX(0,G77+H77-I77))</x:f>
      </x:c>
      <x:c r="K77" s="37"/>
      <x:c r="L77" s="59" t="str">
        <x:f>IF(C77="","",IF(J77&lt;=K77,"REORDER","OK"))</x:f>
      </x:c>
      <x:c r="M77" s="44"/>
      <x:c r="N77" s="76" t="str">
        <x:f>IF(C77="","",J77*M77)</x:f>
      </x:c>
      <x:c r="O77" s="37"/>
      <x:c r="P77" s="42"/>
      <x:c r="Q77" s="37"/>
    </x:row>
    <x:row r="78">
      <x:c r="A78" s="37"/>
      <x:c r="B78" s="59" t="str">
        <x:f>IF(C78="","","ITM-"&amp;TEXT(ROW()-5,"0000"))</x:f>
      </x:c>
      <x:c r="C78" s="37"/>
      <x:c r="D78" s="37"/>
      <x:c r="E78" s="37"/>
      <x:c r="F78" s="37"/>
      <x:c r="G78" s="37"/>
      <x:c r="H78" s="37"/>
      <x:c r="I78" s="37"/>
      <x:c r="J78" s="59" t="str">
        <x:f>IF(C78="","",MAX(0,G78+H78-I78))</x:f>
      </x:c>
      <x:c r="K78" s="37"/>
      <x:c r="L78" s="59" t="str">
        <x:f>IF(C78="","",IF(J78&lt;=K78,"REORDER","OK"))</x:f>
      </x:c>
      <x:c r="M78" s="44"/>
      <x:c r="N78" s="76" t="str">
        <x:f>IF(C78="","",J78*M78)</x:f>
      </x:c>
      <x:c r="O78" s="37"/>
      <x:c r="P78" s="42"/>
      <x:c r="Q78" s="37"/>
    </x:row>
    <x:row r="79">
      <x:c r="A79" s="37"/>
      <x:c r="B79" s="59" t="str">
        <x:f>IF(C79="","","ITM-"&amp;TEXT(ROW()-5,"0000"))</x:f>
      </x:c>
      <x:c r="C79" s="37"/>
      <x:c r="D79" s="37"/>
      <x:c r="E79" s="37"/>
      <x:c r="F79" s="37"/>
      <x:c r="G79" s="37"/>
      <x:c r="H79" s="37"/>
      <x:c r="I79" s="37"/>
      <x:c r="J79" s="59" t="str">
        <x:f>IF(C79="","",MAX(0,G79+H79-I79))</x:f>
      </x:c>
      <x:c r="K79" s="37"/>
      <x:c r="L79" s="59" t="str">
        <x:f>IF(C79="","",IF(J79&lt;=K79,"REORDER","OK"))</x:f>
      </x:c>
      <x:c r="M79" s="44"/>
      <x:c r="N79" s="76" t="str">
        <x:f>IF(C79="","",J79*M79)</x:f>
      </x:c>
      <x:c r="O79" s="37"/>
      <x:c r="P79" s="42"/>
      <x:c r="Q79" s="37"/>
    </x:row>
    <x:row r="80">
      <x:c r="A80" s="37"/>
      <x:c r="B80" s="59" t="str">
        <x:f>IF(C80="","","ITM-"&amp;TEXT(ROW()-5,"0000"))</x:f>
      </x:c>
      <x:c r="C80" s="37"/>
      <x:c r="D80" s="37"/>
      <x:c r="E80" s="37"/>
      <x:c r="F80" s="37"/>
      <x:c r="G80" s="37"/>
      <x:c r="H80" s="37"/>
      <x:c r="I80" s="37"/>
      <x:c r="J80" s="59" t="str">
        <x:f>IF(C80="","",MAX(0,G80+H80-I80))</x:f>
      </x:c>
      <x:c r="K80" s="37"/>
      <x:c r="L80" s="59" t="str">
        <x:f>IF(C80="","",IF(J80&lt;=K80,"REORDER","OK"))</x:f>
      </x:c>
      <x:c r="M80" s="44"/>
      <x:c r="N80" s="76" t="str">
        <x:f>IF(C80="","",J80*M80)</x:f>
      </x:c>
      <x:c r="O80" s="37"/>
      <x:c r="P80" s="42"/>
      <x:c r="Q80" s="37"/>
    </x:row>
    <x:row r="81">
      <x:c r="A81" s="37"/>
      <x:c r="B81" s="59" t="str">
        <x:f>IF(C81="","","ITM-"&amp;TEXT(ROW()-5,"0000"))</x:f>
      </x:c>
      <x:c r="C81" s="37"/>
      <x:c r="D81" s="37"/>
      <x:c r="E81" s="37"/>
      <x:c r="F81" s="37"/>
      <x:c r="G81" s="37"/>
      <x:c r="H81" s="37"/>
      <x:c r="I81" s="37"/>
      <x:c r="J81" s="59" t="str">
        <x:f>IF(C81="","",MAX(0,G81+H81-I81))</x:f>
      </x:c>
      <x:c r="K81" s="37"/>
      <x:c r="L81" s="59" t="str">
        <x:f>IF(C81="","",IF(J81&lt;=K81,"REORDER","OK"))</x:f>
      </x:c>
      <x:c r="M81" s="44"/>
      <x:c r="N81" s="76" t="str">
        <x:f>IF(C81="","",J81*M81)</x:f>
      </x:c>
      <x:c r="O81" s="37"/>
      <x:c r="P81" s="42"/>
      <x:c r="Q81" s="37"/>
    </x:row>
    <x:row r="82">
      <x:c r="A82" s="37"/>
      <x:c r="B82" s="59" t="str">
        <x:f>IF(C82="","","ITM-"&amp;TEXT(ROW()-5,"0000"))</x:f>
      </x:c>
      <x:c r="C82" s="37"/>
      <x:c r="D82" s="37"/>
      <x:c r="E82" s="37"/>
      <x:c r="F82" s="37"/>
      <x:c r="G82" s="37"/>
      <x:c r="H82" s="37"/>
      <x:c r="I82" s="37"/>
      <x:c r="J82" s="59" t="str">
        <x:f>IF(C82="","",MAX(0,G82+H82-I82))</x:f>
      </x:c>
      <x:c r="K82" s="37"/>
      <x:c r="L82" s="59" t="str">
        <x:f>IF(C82="","",IF(J82&lt;=K82,"REORDER","OK"))</x:f>
      </x:c>
      <x:c r="M82" s="44"/>
      <x:c r="N82" s="76" t="str">
        <x:f>IF(C82="","",J82*M82)</x:f>
      </x:c>
      <x:c r="O82" s="37"/>
      <x:c r="P82" s="42"/>
      <x:c r="Q82" s="37"/>
    </x:row>
    <x:row r="83">
      <x:c r="A83" s="37"/>
      <x:c r="B83" s="59" t="str">
        <x:f>IF(C83="","","ITM-"&amp;TEXT(ROW()-5,"0000"))</x:f>
      </x:c>
      <x:c r="C83" s="37"/>
      <x:c r="D83" s="37"/>
      <x:c r="E83" s="37"/>
      <x:c r="F83" s="37"/>
      <x:c r="G83" s="37"/>
      <x:c r="H83" s="37"/>
      <x:c r="I83" s="37"/>
      <x:c r="J83" s="59" t="str">
        <x:f>IF(C83="","",MAX(0,G83+H83-I83))</x:f>
      </x:c>
      <x:c r="K83" s="37"/>
      <x:c r="L83" s="59" t="str">
        <x:f>IF(C83="","",IF(J83&lt;=K83,"REORDER","OK"))</x:f>
      </x:c>
      <x:c r="M83" s="44"/>
      <x:c r="N83" s="76" t="str">
        <x:f>IF(C83="","",J83*M83)</x:f>
      </x:c>
      <x:c r="O83" s="37"/>
      <x:c r="P83" s="42"/>
      <x:c r="Q83" s="37"/>
    </x:row>
    <x:row r="84">
      <x:c r="A84" s="37"/>
      <x:c r="B84" s="59" t="str">
        <x:f>IF(C84="","","ITM-"&amp;TEXT(ROW()-5,"0000"))</x:f>
      </x:c>
      <x:c r="C84" s="37"/>
      <x:c r="D84" s="37"/>
      <x:c r="E84" s="37"/>
      <x:c r="F84" s="37"/>
      <x:c r="G84" s="37"/>
      <x:c r="H84" s="37"/>
      <x:c r="I84" s="37"/>
      <x:c r="J84" s="59" t="str">
        <x:f>IF(C84="","",MAX(0,G84+H84-I84))</x:f>
      </x:c>
      <x:c r="K84" s="37"/>
      <x:c r="L84" s="59" t="str">
        <x:f>IF(C84="","",IF(J84&lt;=K84,"REORDER","OK"))</x:f>
      </x:c>
      <x:c r="M84" s="44"/>
      <x:c r="N84" s="76" t="str">
        <x:f>IF(C84="","",J84*M84)</x:f>
      </x:c>
      <x:c r="O84" s="37"/>
      <x:c r="P84" s="42"/>
      <x:c r="Q84" s="37"/>
    </x:row>
    <x:row r="85">
      <x:c r="A85" s="37"/>
      <x:c r="B85" s="59" t="str">
        <x:f>IF(C85="","","ITM-"&amp;TEXT(ROW()-5,"0000"))</x:f>
      </x:c>
      <x:c r="C85" s="37"/>
      <x:c r="D85" s="37"/>
      <x:c r="E85" s="37"/>
      <x:c r="F85" s="37"/>
      <x:c r="G85" s="37"/>
      <x:c r="H85" s="37"/>
      <x:c r="I85" s="37"/>
      <x:c r="J85" s="59" t="str">
        <x:f>IF(C85="","",MAX(0,G85+H85-I85))</x:f>
      </x:c>
      <x:c r="K85" s="37"/>
      <x:c r="L85" s="59" t="str">
        <x:f>IF(C85="","",IF(J85&lt;=K85,"REORDER","OK"))</x:f>
      </x:c>
      <x:c r="M85" s="44"/>
      <x:c r="N85" s="76" t="str">
        <x:f>IF(C85="","",J85*M85)</x:f>
      </x:c>
      <x:c r="O85" s="37"/>
      <x:c r="P85" s="42"/>
      <x:c r="Q85" s="37"/>
    </x:row>
    <x:row r="86">
      <x:c r="A86" s="37"/>
      <x:c r="B86" s="59" t="str">
        <x:f>IF(C86="","","ITM-"&amp;TEXT(ROW()-5,"0000"))</x:f>
      </x:c>
      <x:c r="C86" s="37"/>
      <x:c r="D86" s="37"/>
      <x:c r="E86" s="37"/>
      <x:c r="F86" s="37"/>
      <x:c r="G86" s="37"/>
      <x:c r="H86" s="37"/>
      <x:c r="I86" s="37"/>
      <x:c r="J86" s="59" t="str">
        <x:f>IF(C86="","",MAX(0,G86+H86-I86))</x:f>
      </x:c>
      <x:c r="K86" s="37"/>
      <x:c r="L86" s="59" t="str">
        <x:f>IF(C86="","",IF(J86&lt;=K86,"REORDER","OK"))</x:f>
      </x:c>
      <x:c r="M86" s="44"/>
      <x:c r="N86" s="76" t="str">
        <x:f>IF(C86="","",J86*M86)</x:f>
      </x:c>
      <x:c r="O86" s="37"/>
      <x:c r="P86" s="42"/>
      <x:c r="Q86" s="37"/>
    </x:row>
    <x:row r="87">
      <x:c r="A87" s="37"/>
      <x:c r="B87" s="59" t="str">
        <x:f>IF(C87="","","ITM-"&amp;TEXT(ROW()-5,"0000"))</x:f>
      </x:c>
      <x:c r="C87" s="37"/>
      <x:c r="D87" s="37"/>
      <x:c r="E87" s="37"/>
      <x:c r="F87" s="37"/>
      <x:c r="G87" s="37"/>
      <x:c r="H87" s="37"/>
      <x:c r="I87" s="37"/>
      <x:c r="J87" s="59" t="str">
        <x:f>IF(C87="","",MAX(0,G87+H87-I87))</x:f>
      </x:c>
      <x:c r="K87" s="37"/>
      <x:c r="L87" s="59" t="str">
        <x:f>IF(C87="","",IF(J87&lt;=K87,"REORDER","OK"))</x:f>
      </x:c>
      <x:c r="M87" s="44"/>
      <x:c r="N87" s="76" t="str">
        <x:f>IF(C87="","",J87*M87)</x:f>
      </x:c>
      <x:c r="O87" s="37"/>
      <x:c r="P87" s="42"/>
      <x:c r="Q87" s="37"/>
    </x:row>
    <x:row r="88">
      <x:c r="A88" s="37"/>
      <x:c r="B88" s="59" t="str">
        <x:f>IF(C88="","","ITM-"&amp;TEXT(ROW()-5,"0000"))</x:f>
      </x:c>
      <x:c r="C88" s="37"/>
      <x:c r="D88" s="37"/>
      <x:c r="E88" s="37"/>
      <x:c r="F88" s="37"/>
      <x:c r="G88" s="37"/>
      <x:c r="H88" s="37"/>
      <x:c r="I88" s="37"/>
      <x:c r="J88" s="59" t="str">
        <x:f>IF(C88="","",MAX(0,G88+H88-I88))</x:f>
      </x:c>
      <x:c r="K88" s="37"/>
      <x:c r="L88" s="59" t="str">
        <x:f>IF(C88="","",IF(J88&lt;=K88,"REORDER","OK"))</x:f>
      </x:c>
      <x:c r="M88" s="44"/>
      <x:c r="N88" s="76" t="str">
        <x:f>IF(C88="","",J88*M88)</x:f>
      </x:c>
      <x:c r="O88" s="37"/>
      <x:c r="P88" s="42"/>
      <x:c r="Q88" s="37"/>
    </x:row>
    <x:row r="89">
      <x:c r="A89" s="37"/>
      <x:c r="B89" s="59" t="str">
        <x:f>IF(C89="","","ITM-"&amp;TEXT(ROW()-5,"0000"))</x:f>
      </x:c>
      <x:c r="C89" s="37"/>
      <x:c r="D89" s="37"/>
      <x:c r="E89" s="37"/>
      <x:c r="F89" s="37"/>
      <x:c r="G89" s="37"/>
      <x:c r="H89" s="37"/>
      <x:c r="I89" s="37"/>
      <x:c r="J89" s="59" t="str">
        <x:f>IF(C89="","",MAX(0,G89+H89-I89))</x:f>
      </x:c>
      <x:c r="K89" s="37"/>
      <x:c r="L89" s="59" t="str">
        <x:f>IF(C89="","",IF(J89&lt;=K89,"REORDER","OK"))</x:f>
      </x:c>
      <x:c r="M89" s="44"/>
      <x:c r="N89" s="76" t="str">
        <x:f>IF(C89="","",J89*M89)</x:f>
      </x:c>
      <x:c r="O89" s="37"/>
      <x:c r="P89" s="42"/>
      <x:c r="Q89" s="37"/>
    </x:row>
    <x:row r="90">
      <x:c r="A90" s="37"/>
      <x:c r="B90" s="59" t="str">
        <x:f>IF(C90="","","ITM-"&amp;TEXT(ROW()-5,"0000"))</x:f>
      </x:c>
      <x:c r="C90" s="37"/>
      <x:c r="D90" s="37"/>
      <x:c r="E90" s="37"/>
      <x:c r="F90" s="37"/>
      <x:c r="G90" s="37"/>
      <x:c r="H90" s="37"/>
      <x:c r="I90" s="37"/>
      <x:c r="J90" s="59" t="str">
        <x:f>IF(C90="","",MAX(0,G90+H90-I90))</x:f>
      </x:c>
      <x:c r="K90" s="37"/>
      <x:c r="L90" s="59" t="str">
        <x:f>IF(C90="","",IF(J90&lt;=K90,"REORDER","OK"))</x:f>
      </x:c>
      <x:c r="M90" s="44"/>
      <x:c r="N90" s="76" t="str">
        <x:f>IF(C90="","",J90*M90)</x:f>
      </x:c>
      <x:c r="O90" s="37"/>
      <x:c r="P90" s="42"/>
      <x:c r="Q90" s="37"/>
    </x:row>
    <x:row r="91">
      <x:c r="A91" s="37"/>
      <x:c r="B91" s="59" t="str">
        <x:f>IF(C91="","","ITM-"&amp;TEXT(ROW()-5,"0000"))</x:f>
      </x:c>
      <x:c r="C91" s="37"/>
      <x:c r="D91" s="37"/>
      <x:c r="E91" s="37"/>
      <x:c r="F91" s="37"/>
      <x:c r="G91" s="37"/>
      <x:c r="H91" s="37"/>
      <x:c r="I91" s="37"/>
      <x:c r="J91" s="59" t="str">
        <x:f>IF(C91="","",MAX(0,G91+H91-I91))</x:f>
      </x:c>
      <x:c r="K91" s="37"/>
      <x:c r="L91" s="59" t="str">
        <x:f>IF(C91="","",IF(J91&lt;=K91,"REORDER","OK"))</x:f>
      </x:c>
      <x:c r="M91" s="44"/>
      <x:c r="N91" s="76" t="str">
        <x:f>IF(C91="","",J91*M91)</x:f>
      </x:c>
      <x:c r="O91" s="37"/>
      <x:c r="P91" s="42"/>
      <x:c r="Q91" s="37"/>
    </x:row>
    <x:row r="92">
      <x:c r="A92" s="37"/>
      <x:c r="B92" s="59" t="str">
        <x:f>IF(C92="","","ITM-"&amp;TEXT(ROW()-5,"0000"))</x:f>
      </x:c>
      <x:c r="C92" s="37"/>
      <x:c r="D92" s="37"/>
      <x:c r="E92" s="37"/>
      <x:c r="F92" s="37"/>
      <x:c r="G92" s="37"/>
      <x:c r="H92" s="37"/>
      <x:c r="I92" s="37"/>
      <x:c r="J92" s="59" t="str">
        <x:f>IF(C92="","",MAX(0,G92+H92-I92))</x:f>
      </x:c>
      <x:c r="K92" s="37"/>
      <x:c r="L92" s="59" t="str">
        <x:f>IF(C92="","",IF(J92&lt;=K92,"REORDER","OK"))</x:f>
      </x:c>
      <x:c r="M92" s="44"/>
      <x:c r="N92" s="76" t="str">
        <x:f>IF(C92="","",J92*M92)</x:f>
      </x:c>
      <x:c r="O92" s="37"/>
      <x:c r="P92" s="42"/>
      <x:c r="Q92" s="37"/>
    </x:row>
    <x:row r="93">
      <x:c r="A93" s="37"/>
      <x:c r="B93" s="59" t="str">
        <x:f>IF(C93="","","ITM-"&amp;TEXT(ROW()-5,"0000"))</x:f>
      </x:c>
      <x:c r="C93" s="37"/>
      <x:c r="D93" s="37"/>
      <x:c r="E93" s="37"/>
      <x:c r="F93" s="37"/>
      <x:c r="G93" s="37"/>
      <x:c r="H93" s="37"/>
      <x:c r="I93" s="37"/>
      <x:c r="J93" s="59" t="str">
        <x:f>IF(C93="","",MAX(0,G93+H93-I93))</x:f>
      </x:c>
      <x:c r="K93" s="37"/>
      <x:c r="L93" s="59" t="str">
        <x:f>IF(C93="","",IF(J93&lt;=K93,"REORDER","OK"))</x:f>
      </x:c>
      <x:c r="M93" s="44"/>
      <x:c r="N93" s="76" t="str">
        <x:f>IF(C93="","",J93*M93)</x:f>
      </x:c>
      <x:c r="O93" s="37"/>
      <x:c r="P93" s="42"/>
      <x:c r="Q93" s="37"/>
    </x:row>
    <x:row r="94">
      <x:c r="A94" s="37"/>
      <x:c r="B94" s="59" t="str">
        <x:f>IF(C94="","","ITM-"&amp;TEXT(ROW()-5,"0000"))</x:f>
      </x:c>
      <x:c r="C94" s="37"/>
      <x:c r="D94" s="37"/>
      <x:c r="E94" s="37"/>
      <x:c r="F94" s="37"/>
      <x:c r="G94" s="37"/>
      <x:c r="H94" s="37"/>
      <x:c r="I94" s="37"/>
      <x:c r="J94" s="59" t="str">
        <x:f>IF(C94="","",MAX(0,G94+H94-I94))</x:f>
      </x:c>
      <x:c r="K94" s="37"/>
      <x:c r="L94" s="59" t="str">
        <x:f>IF(C94="","",IF(J94&lt;=K94,"REORDER","OK"))</x:f>
      </x:c>
      <x:c r="M94" s="44"/>
      <x:c r="N94" s="76" t="str">
        <x:f>IF(C94="","",J94*M94)</x:f>
      </x:c>
      <x:c r="O94" s="37"/>
      <x:c r="P94" s="42"/>
      <x:c r="Q94" s="37"/>
    </x:row>
    <x:row r="95">
      <x:c r="A95" s="37"/>
      <x:c r="B95" s="59" t="str">
        <x:f>IF(C95="","","ITM-"&amp;TEXT(ROW()-5,"0000"))</x:f>
      </x:c>
      <x:c r="C95" s="37"/>
      <x:c r="D95" s="37"/>
      <x:c r="E95" s="37"/>
      <x:c r="F95" s="37"/>
      <x:c r="G95" s="37"/>
      <x:c r="H95" s="37"/>
      <x:c r="I95" s="37"/>
      <x:c r="J95" s="59" t="str">
        <x:f>IF(C95="","",MAX(0,G95+H95-I95))</x:f>
      </x:c>
      <x:c r="K95" s="37"/>
      <x:c r="L95" s="59" t="str">
        <x:f>IF(C95="","",IF(J95&lt;=K95,"REORDER","OK"))</x:f>
      </x:c>
      <x:c r="M95" s="44"/>
      <x:c r="N95" s="76" t="str">
        <x:f>IF(C95="","",J95*M95)</x:f>
      </x:c>
      <x:c r="O95" s="37"/>
      <x:c r="P95" s="42"/>
      <x:c r="Q95" s="37"/>
    </x:row>
    <x:row r="96">
      <x:c r="A96" s="37"/>
      <x:c r="B96" s="59" t="str">
        <x:f>IF(C96="","","ITM-"&amp;TEXT(ROW()-5,"0000"))</x:f>
      </x:c>
      <x:c r="C96" s="37"/>
      <x:c r="D96" s="37"/>
      <x:c r="E96" s="37"/>
      <x:c r="F96" s="37"/>
      <x:c r="G96" s="37"/>
      <x:c r="H96" s="37"/>
      <x:c r="I96" s="37"/>
      <x:c r="J96" s="59" t="str">
        <x:f>IF(C96="","",MAX(0,G96+H96-I96))</x:f>
      </x:c>
      <x:c r="K96" s="37"/>
      <x:c r="L96" s="59" t="str">
        <x:f>IF(C96="","",IF(J96&lt;=K96,"REORDER","OK"))</x:f>
      </x:c>
      <x:c r="M96" s="44"/>
      <x:c r="N96" s="76" t="str">
        <x:f>IF(C96="","",J96*M96)</x:f>
      </x:c>
      <x:c r="O96" s="37"/>
      <x:c r="P96" s="42"/>
      <x:c r="Q96" s="37"/>
    </x:row>
    <x:row r="97">
      <x:c r="A97" s="37"/>
      <x:c r="B97" s="59" t="str">
        <x:f>IF(C97="","","ITM-"&amp;TEXT(ROW()-5,"0000"))</x:f>
      </x:c>
      <x:c r="C97" s="37"/>
      <x:c r="D97" s="37"/>
      <x:c r="E97" s="37"/>
      <x:c r="F97" s="37"/>
      <x:c r="G97" s="37"/>
      <x:c r="H97" s="37"/>
      <x:c r="I97" s="37"/>
      <x:c r="J97" s="59" t="str">
        <x:f>IF(C97="","",MAX(0,G97+H97-I97))</x:f>
      </x:c>
      <x:c r="K97" s="37"/>
      <x:c r="L97" s="59" t="str">
        <x:f>IF(C97="","",IF(J97&lt;=K97,"REORDER","OK"))</x:f>
      </x:c>
      <x:c r="M97" s="44"/>
      <x:c r="N97" s="76" t="str">
        <x:f>IF(C97="","",J97*M97)</x:f>
      </x:c>
      <x:c r="O97" s="37"/>
      <x:c r="P97" s="42"/>
      <x:c r="Q97" s="37"/>
    </x:row>
    <x:row r="98">
      <x:c r="A98" s="37"/>
      <x:c r="B98" s="59" t="str">
        <x:f>IF(C98="","","ITM-"&amp;TEXT(ROW()-5,"0000"))</x:f>
      </x:c>
      <x:c r="C98" s="37"/>
      <x:c r="D98" s="37"/>
      <x:c r="E98" s="37"/>
      <x:c r="F98" s="37"/>
      <x:c r="G98" s="37"/>
      <x:c r="H98" s="37"/>
      <x:c r="I98" s="37"/>
      <x:c r="J98" s="59" t="str">
        <x:f>IF(C98="","",MAX(0,G98+H98-I98))</x:f>
      </x:c>
      <x:c r="K98" s="37"/>
      <x:c r="L98" s="59" t="str">
        <x:f>IF(C98="","",IF(J98&lt;=K98,"REORDER","OK"))</x:f>
      </x:c>
      <x:c r="M98" s="44"/>
      <x:c r="N98" s="76" t="str">
        <x:f>IF(C98="","",J98*M98)</x:f>
      </x:c>
      <x:c r="O98" s="37"/>
      <x:c r="P98" s="42"/>
      <x:c r="Q98" s="37"/>
    </x:row>
    <x:row r="99">
      <x:c r="A99" s="37"/>
      <x:c r="B99" s="59" t="str">
        <x:f>IF(C99="","","ITM-"&amp;TEXT(ROW()-5,"0000"))</x:f>
      </x:c>
      <x:c r="C99" s="37"/>
      <x:c r="D99" s="37"/>
      <x:c r="E99" s="37"/>
      <x:c r="F99" s="37"/>
      <x:c r="G99" s="37"/>
      <x:c r="H99" s="37"/>
      <x:c r="I99" s="37"/>
      <x:c r="J99" s="59" t="str">
        <x:f>IF(C99="","",MAX(0,G99+H99-I99))</x:f>
      </x:c>
      <x:c r="K99" s="37"/>
      <x:c r="L99" s="59" t="str">
        <x:f>IF(C99="","",IF(J99&lt;=K99,"REORDER","OK"))</x:f>
      </x:c>
      <x:c r="M99" s="44"/>
      <x:c r="N99" s="76" t="str">
        <x:f>IF(C99="","",J99*M99)</x:f>
      </x:c>
      <x:c r="O99" s="37"/>
      <x:c r="P99" s="42"/>
      <x:c r="Q99" s="37"/>
    </x:row>
    <x:row r="100">
      <x:c r="A100" s="37"/>
      <x:c r="B100" s="59" t="str">
        <x:f>IF(C100="","","ITM-"&amp;TEXT(ROW()-5,"0000"))</x:f>
      </x:c>
      <x:c r="C100" s="37"/>
      <x:c r="D100" s="37"/>
      <x:c r="E100" s="37"/>
      <x:c r="F100" s="37"/>
      <x:c r="G100" s="37"/>
      <x:c r="H100" s="37"/>
      <x:c r="I100" s="37"/>
      <x:c r="J100" s="59" t="str">
        <x:f>IF(C100="","",MAX(0,G100+H100-I100))</x:f>
      </x:c>
      <x:c r="K100" s="37"/>
      <x:c r="L100" s="59" t="str">
        <x:f>IF(C100="","",IF(J100&lt;=K100,"REORDER","OK"))</x:f>
      </x:c>
      <x:c r="M100" s="44"/>
      <x:c r="N100" s="76" t="str">
        <x:f>IF(C100="","",J100*M100)</x:f>
      </x:c>
      <x:c r="O100" s="37"/>
      <x:c r="P100" s="42"/>
      <x:c r="Q100" s="37"/>
    </x:row>
    <x:row r="101">
      <x:c r="A101" s="37"/>
      <x:c r="B101" s="59" t="str">
        <x:f>IF(C101="","","ITM-"&amp;TEXT(ROW()-5,"0000"))</x:f>
      </x:c>
      <x:c r="C101" s="37"/>
      <x:c r="D101" s="37"/>
      <x:c r="E101" s="37"/>
      <x:c r="F101" s="37"/>
      <x:c r="G101" s="37"/>
      <x:c r="H101" s="37"/>
      <x:c r="I101" s="37"/>
      <x:c r="J101" s="59" t="str">
        <x:f>IF(C101="","",MAX(0,G101+H101-I101))</x:f>
      </x:c>
      <x:c r="K101" s="37"/>
      <x:c r="L101" s="59" t="str">
        <x:f>IF(C101="","",IF(J101&lt;=K101,"REORDER","OK"))</x:f>
      </x:c>
      <x:c r="M101" s="44"/>
      <x:c r="N101" s="76" t="str">
        <x:f>IF(C101="","",J101*M101)</x:f>
      </x:c>
      <x:c r="O101" s="37"/>
      <x:c r="P101" s="42"/>
      <x:c r="Q101" s="37"/>
    </x:row>
    <x:row r="102">
      <x:c r="A102" s="37"/>
      <x:c r="B102" s="59" t="str">
        <x:f>IF(C102="","","ITM-"&amp;TEXT(ROW()-5,"0000"))</x:f>
      </x:c>
      <x:c r="C102" s="37"/>
      <x:c r="D102" s="37"/>
      <x:c r="E102" s="37"/>
      <x:c r="F102" s="37"/>
      <x:c r="G102" s="37"/>
      <x:c r="H102" s="37"/>
      <x:c r="I102" s="37"/>
      <x:c r="J102" s="59" t="str">
        <x:f>IF(C102="","",MAX(0,G102+H102-I102))</x:f>
      </x:c>
      <x:c r="K102" s="37"/>
      <x:c r="L102" s="59" t="str">
        <x:f>IF(C102="","",IF(J102&lt;=K102,"REORDER","OK"))</x:f>
      </x:c>
      <x:c r="M102" s="44"/>
      <x:c r="N102" s="76" t="str">
        <x:f>IF(C102="","",J102*M102)</x:f>
      </x:c>
      <x:c r="O102" s="37"/>
      <x:c r="P102" s="42"/>
      <x:c r="Q102" s="37"/>
    </x:row>
    <x:row r="103">
      <x:c r="A103" s="37"/>
      <x:c r="B103" s="59" t="str">
        <x:f>IF(C103="","","ITM-"&amp;TEXT(ROW()-5,"0000"))</x:f>
      </x:c>
      <x:c r="C103" s="37"/>
      <x:c r="D103" s="37"/>
      <x:c r="E103" s="37"/>
      <x:c r="F103" s="37"/>
      <x:c r="G103" s="37"/>
      <x:c r="H103" s="37"/>
      <x:c r="I103" s="37"/>
      <x:c r="J103" s="59" t="str">
        <x:f>IF(C103="","",MAX(0,G103+H103-I103))</x:f>
      </x:c>
      <x:c r="K103" s="37"/>
      <x:c r="L103" s="59" t="str">
        <x:f>IF(C103="","",IF(J103&lt;=K103,"REORDER","OK"))</x:f>
      </x:c>
      <x:c r="M103" s="44"/>
      <x:c r="N103" s="76" t="str">
        <x:f>IF(C103="","",J103*M103)</x:f>
      </x:c>
      <x:c r="O103" s="37"/>
      <x:c r="P103" s="42"/>
      <x:c r="Q103" s="37"/>
    </x:row>
    <x:row r="104">
      <x:c r="A104" s="37"/>
      <x:c r="B104" s="59" t="str">
        <x:f>IF(C104="","","ITM-"&amp;TEXT(ROW()-5,"0000"))</x:f>
      </x:c>
      <x:c r="C104" s="37"/>
      <x:c r="D104" s="37"/>
      <x:c r="E104" s="37"/>
      <x:c r="F104" s="37"/>
      <x:c r="G104" s="37"/>
      <x:c r="H104" s="37"/>
      <x:c r="I104" s="37"/>
      <x:c r="J104" s="59" t="str">
        <x:f>IF(C104="","",MAX(0,G104+H104-I104))</x:f>
      </x:c>
      <x:c r="K104" s="37"/>
      <x:c r="L104" s="59" t="str">
        <x:f>IF(C104="","",IF(J104&lt;=K104,"REORDER","OK"))</x:f>
      </x:c>
      <x:c r="M104" s="44"/>
      <x:c r="N104" s="76" t="str">
        <x:f>IF(C104="","",J104*M104)</x:f>
      </x:c>
      <x:c r="O104" s="37"/>
      <x:c r="P104" s="42"/>
      <x:c r="Q104" s="37"/>
    </x:row>
    <x:row r="105">
      <x:c r="A105" s="37"/>
      <x:c r="B105" s="59" t="str">
        <x:f>IF(C105="","","ITM-"&amp;TEXT(ROW()-5,"0000"))</x:f>
      </x:c>
      <x:c r="C105" s="37"/>
      <x:c r="D105" s="37"/>
      <x:c r="E105" s="37"/>
      <x:c r="F105" s="37"/>
      <x:c r="G105" s="37"/>
      <x:c r="H105" s="37"/>
      <x:c r="I105" s="37"/>
      <x:c r="J105" s="59" t="str">
        <x:f>IF(C105="","",MAX(0,G105+H105-I105))</x:f>
      </x:c>
      <x:c r="K105" s="37"/>
      <x:c r="L105" s="59" t="str">
        <x:f>IF(C105="","",IF(J105&lt;=K105,"REORDER","OK"))</x:f>
      </x:c>
      <x:c r="M105" s="44"/>
      <x:c r="N105" s="76" t="str">
        <x:f>IF(C105="","",J105*M105)</x:f>
      </x:c>
      <x:c r="O105" s="37"/>
      <x:c r="P105" s="42"/>
      <x:c r="Q105" s="37"/>
    </x:row>
  </x:sheetData>
  <x:mergeCells>
    <x:mergeCell ref="A1:Q1"/>
    <x:mergeCell ref="A2:Q2"/>
    <x:mergeCell ref="A4:Q4"/>
  </x:mergeCells>
  <x:conditionalFormatting sqref="L6:L105">
    <x:cfRule type="expression" dxfId="5" priority="1">
      <x:formula>$L6="REORDER"</x:formula>
    </x:cfRule>
  </x:conditionalFormatting>
  <x:dataValidations count="3">
    <x:dataValidation type="list" sqref="A6:A105">
      <x:formula1>99_SETTINGS!$D$19:$D$20</x:formula1>
    </x:dataValidation>
    <x:dataValidation type="list" sqref="E6:E105">
      <x:formula1>99_SETTINGS!$D$5:$D$8</x:formula1>
    </x:dataValidation>
    <x:dataValidation type="list" sqref="F6:F105">
      <x:formula1>99_SETTINGS!$N$19:$N$25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1f702c4c424e2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4" t="str">
        <x:v>CUSTOMER PROGRESS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0" t="str">
        <x:v>A client-facing dashboard. Select a Member ID; show only approved non-diagnostic progress metrics.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28" t="str">
        <x:v>Select Member ID</x:v>
      </x:c>
      <x:c r="B4" s="37" t="str">
        <x:v>MBR-0001</x:v>
      </x:c>
      <x:c r="D4" s="28" t="str">
        <x:v>Member Name</x:v>
      </x:c>
      <x:c r="E4" s="95" t="str">
        <x:f>IFERROR(INDEX('02_MEMBERS'!$C$6:$C$105,MATCH($B$4,'02_MEMBERS'!$B$6:$B$105,0)),"")</x:f>
        <x:v>Aarati Karki</x:v>
      </x:c>
      <x:c r="F4" s="95"/>
      <x:c r="G4" s="95"/>
    </x:row>
    <x:row r="6">
      <x:c r="A6" s="28" t="str">
        <x:v>Sessions Completed</x:v>
      </x:c>
      <x:c r="B6" s="28"/>
      <x:c r="C6" s="28"/>
      <x:c r="D6" s="28" t="str">
        <x:v>Sessions Remaining</x:v>
      </x:c>
      <x:c r="E6" s="28"/>
      <x:c r="F6" s="28"/>
      <x:c r="G6" s="28" t="str">
        <x:v>Latest Goal Progress</x:v>
      </x:c>
      <x:c r="H6" s="28"/>
      <x:c r="I6" s="28"/>
      <x:c r="J6" s="28" t="str">
        <x:v>Average Class Rating</x:v>
      </x:c>
      <x:c r="K6" s="28"/>
      <x:c r="L6" s="28"/>
    </x:row>
    <x:row r="7">
      <x:c r="A7" s="102" t="n">
        <x:f>COUNTIFS('04_ATTENDANCE'!$E$6:$E$105,$B$4,'04_ATTENDANCE'!$M$6:$M$105,1)</x:f>
        <x:v>2</x:v>
      </x:c>
      <x:c r="B7" s="102"/>
      <x:c r="C7" s="102"/>
      <x:c r="D7" s="102" t="n">
        <x:f>IFERROR(INDEX('02_MEMBERS'!$N$6:$N$105,MATCH($B$4,'02_MEMBERS'!$B$6:$B$105,0)),0)</x:f>
        <x:v>6</x:v>
      </x:c>
      <x:c r="E7" s="102"/>
      <x:c r="F7" s="102"/>
      <x:c r="G7" s="104" t="n">
        <x:f>IFERROR(LOOKUP(2,1/('08_CLIENT_PROGRESS'!$C$6:$C$105=$B$4),'08_CLIENT_PROGRESS'!$K$6:$K$105),0)</x:f>
        <x:v>0.89</x:v>
      </x:c>
      <x:c r="H7" s="104"/>
      <x:c r="I7" s="104"/>
      <x:c r="J7" s="106" t="n">
        <x:f>IFERROR(AVERAGEIF('04_ATTENDANCE'!$E$6:$E$105,$B$4,'04_ATTENDANCE'!$N$6:$N$105),0)</x:f>
        <x:v>4</x:v>
      </x:c>
      <x:c r="K7" s="106"/>
      <x:c r="L7" s="106"/>
    </x:row>
    <x:row r="8">
      <x:c r="A8" s="102"/>
      <x:c r="B8" s="102"/>
      <x:c r="C8" s="102"/>
      <x:c r="D8" s="102"/>
      <x:c r="E8" s="102"/>
      <x:c r="F8" s="102"/>
      <x:c r="G8" s="104"/>
      <x:c r="H8" s="104"/>
      <x:c r="I8" s="104"/>
      <x:c r="J8" s="106"/>
      <x:c r="K8" s="106"/>
      <x:c r="L8" s="106"/>
    </x:row>
    <x:row r="9">
      <x:c r="A9" s="102"/>
      <x:c r="B9" s="102"/>
      <x:c r="C9" s="102"/>
      <x:c r="D9" s="102"/>
      <x:c r="E9" s="102"/>
      <x:c r="F9" s="102"/>
      <x:c r="G9" s="104"/>
      <x:c r="H9" s="104"/>
      <x:c r="I9" s="104"/>
      <x:c r="J9" s="106"/>
      <x:c r="K9" s="106"/>
      <x:c r="L9" s="106"/>
    </x:row>
    <x:row r="31">
      <x:c r="A31" s="18" t="str">
        <x:v>Client-visible latest summary</x:v>
      </x:c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</x:row>
    <x:row r="32">
      <x:c r="A32" s="53" t="str">
        <x:f>IFERROR(LOOKUP(2,1/('08_CLIENT_PROGRESS'!$C$6:$C$105=$B$4),'08_CLIENT_PROGRESS'!$O$6:$O$105),"No assessment recorded yet.")</x:f>
        <x:v>Visible improvement in movement quality and confidence.</x:v>
      </x:c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</x:row>
    <x:row r="37">
      <x:c r="A37" s="53" t="str">
        <x:v>Important: This dashboard is for exercise progress and motivation. It is not a medical diagnosis or treatment record.</x:v>
      </x:c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</x:row>
  </x:sheetData>
  <x:mergeCells>
    <x:mergeCell ref="A1:L1"/>
    <x:mergeCell ref="A2:L2"/>
    <x:mergeCell ref="E4:G4"/>
    <x:mergeCell ref="A6:C6"/>
    <x:mergeCell ref="A7:C9"/>
    <x:mergeCell ref="D6:F6"/>
    <x:mergeCell ref="D7:F9"/>
    <x:mergeCell ref="G6:I6"/>
    <x:mergeCell ref="G7:I9"/>
    <x:mergeCell ref="J6:L6"/>
    <x:mergeCell ref="J7:L9"/>
    <x:mergeCell ref="A31:L31"/>
    <x:mergeCell ref="A32:L35"/>
    <x:mergeCell ref="A37:L38"/>
  </x:mergeCells>
  <x:dataValidations count="1">
    <x:dataValidation type="list" sqref="B4">
      <x:formula1>'02_MEMBERS'!$B$6:$B$105</x:formula1>
    </x:dataValidation>
  </x:dataValidations>
  <x:pageMargins left="0.7" right="0.7" top="0.75" bottom="0.75" header="0.3" footer="0.3"/>
  <x:drawing xmlns:r="http://schemas.openxmlformats.org/officeDocument/2006/relationships" r:id="R8e972d697c6c4678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OWNER DASHBOARD — FINANCE &amp; OPERATIONS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10" t="str">
        <x:v>Automatic view of profit/loss, cash flow, members, leads, attendance and risk alerts.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53" t="str">
        <x:v>Reporting date: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</x:row>
    <x:row r="6">
      <x:c r="A6" s="28" t="str">
        <x:v>Revenue (YTD)</x:v>
      </x:c>
      <x:c r="B6" s="28"/>
      <x:c r="C6" s="28"/>
      <x:c r="D6" s="28" t="str">
        <x:v>Expenses (YTD)</x:v>
      </x:c>
      <x:c r="E6" s="28"/>
      <x:c r="F6" s="28"/>
      <x:c r="G6" s="28" t="str">
        <x:v>Operating Profit</x:v>
      </x:c>
      <x:c r="H6" s="28"/>
      <x:c r="I6" s="28"/>
      <x:c r="J6" s="28" t="str">
        <x:v>Cash Surplus</x:v>
      </x:c>
      <x:c r="K6" s="28"/>
      <x:c r="L6" s="28"/>
      <x:c r="M6" s="28" t="str">
        <x:v>Active Members</x:v>
      </x:c>
      <x:c r="N6" s="28"/>
    </x:row>
    <x:row r="7">
      <x:c r="A7" s="100" t="n">
        <x:f>SUM('_BACKEND_MONTHLY'!B5:B16)</x:f>
        <x:v>732000</x:v>
      </x:c>
      <x:c r="B7" s="100"/>
      <x:c r="C7" s="100"/>
      <x:c r="D7" s="100" t="n">
        <x:f>SUM('_BACKEND_MONTHLY'!D5:D16)</x:f>
        <x:v>3525000</x:v>
      </x:c>
      <x:c r="E7" s="100"/>
      <x:c r="F7" s="100"/>
      <x:c r="G7" s="100" t="n">
        <x:f>SUM('_BACKEND_MONTHLY'!F5:F16)</x:f>
        <x:v>-2793000</x:v>
      </x:c>
      <x:c r="H7" s="100"/>
      <x:c r="I7" s="100"/>
      <x:c r="J7" s="100" t="n">
        <x:f>SUM('_BACKEND_MONTHLY'!G5:G16)</x:f>
        <x:v>-2808000</x:v>
      </x:c>
      <x:c r="K7" s="100"/>
      <x:c r="L7" s="100"/>
      <x:c r="M7" s="102" t="n">
        <x:f>COUNTIF('02_MEMBERS'!I6:I105,"Active")</x:f>
        <x:v>12</x:v>
      </x:c>
      <x:c r="N7" s="102"/>
    </x:row>
    <x:row r="8">
      <x:c r="A8" s="100"/>
      <x:c r="B8" s="100"/>
      <x:c r="C8" s="100"/>
      <x:c r="D8" s="100"/>
      <x:c r="E8" s="100"/>
      <x:c r="F8" s="100"/>
      <x:c r="G8" s="100"/>
      <x:c r="H8" s="100"/>
      <x:c r="I8" s="100"/>
      <x:c r="J8" s="100"/>
      <x:c r="K8" s="100"/>
      <x:c r="L8" s="100"/>
      <x:c r="M8" s="102"/>
      <x:c r="N8" s="102"/>
    </x:row>
    <x:row r="9">
      <x:c r="A9" s="100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2"/>
      <x:c r="N9" s="102"/>
    </x:row>
    <x:row r="11">
      <x:c r="A11" s="28" t="str">
        <x:v>Outstanding Receivables</x:v>
      </x:c>
      <x:c r="B11" s="28"/>
      <x:c r="C11" s="28"/>
      <x:c r="D11" s="28" t="str">
        <x:v>Unpaid Expenses</x:v>
      </x:c>
      <x:c r="E11" s="28"/>
      <x:c r="F11" s="28"/>
      <x:c r="G11" s="28" t="str">
        <x:v>Lead Conversion</x:v>
      </x:c>
      <x:c r="H11" s="28"/>
      <x:c r="I11" s="28"/>
      <x:c r="J11" s="28" t="str">
        <x:v>No-show Rate</x:v>
      </x:c>
      <x:c r="K11" s="28"/>
      <x:c r="L11" s="28"/>
      <x:c r="M11" s="28" t="str">
        <x:v>Maintenance Due</x:v>
      </x:c>
      <x:c r="N11" s="28"/>
    </x:row>
    <x:row r="12">
      <x:c r="A12" s="100" t="n">
        <x:f>SUM('05_SALES_PAYMENTS'!N6:N105)</x:f>
        <x:v>15000</x:v>
      </x:c>
      <x:c r="B12" s="100"/>
      <x:c r="C12" s="100"/>
      <x:c r="D12" s="100" t="n">
        <x:f>SUM('06_EXPENSES'!L6:L105)</x:f>
        <x:v>0</x:v>
      </x:c>
      <x:c r="E12" s="100"/>
      <x:c r="F12" s="100"/>
      <x:c r="G12" s="104" t="n">
        <x:f>IFERROR(COUNTIF('07_LEADS_TRIALS'!J6:J105,"Converted")/COUNTIF('07_LEADS_TRIALS'!B6:B105,"&lt;&gt;"),0)</x:f>
        <x:v>0.14</x:v>
      </x:c>
      <x:c r="H12" s="104"/>
      <x:c r="I12" s="104"/>
      <x:c r="J12" s="104" t="n">
        <x:f>IFERROR(COUNTIF('04_ATTENDANCE'!K6:K105,"No-show")/COUNTIF('04_ATTENDANCE'!B6:B105,"&lt;&gt;"),0)</x:f>
        <x:v>0.07</x:v>
      </x:c>
      <x:c r="K12" s="104"/>
      <x:c r="L12" s="104"/>
      <x:c r="M12" s="109" t="n">
        <x:f>COUNTIFS('10_ASSETS_MAINT'!$C$6:$C$105,"&lt;&gt;",'10_ASSETS_MAINT'!$M$6:$M$105,"&lt;="&amp;TODAY()+14)</x:f>
        <x:v>1</x:v>
      </x:c>
      <x:c r="N12" s="109"/>
    </x:row>
    <x:row r="13">
      <x:c r="A13" s="100"/>
      <x:c r="B13" s="100"/>
      <x:c r="C13" s="100"/>
      <x:c r="D13" s="100"/>
      <x:c r="E13" s="100"/>
      <x:c r="F13" s="100"/>
      <x:c r="G13" s="104"/>
      <x:c r="H13" s="104"/>
      <x:c r="I13" s="104"/>
      <x:c r="J13" s="104"/>
      <x:c r="K13" s="104"/>
      <x:c r="L13" s="104"/>
      <x:c r="M13" s="109"/>
      <x:c r="N13" s="109"/>
    </x:row>
    <x:row r="14">
      <x:c r="A14" s="100"/>
      <x:c r="B14" s="100"/>
      <x:c r="C14" s="100"/>
      <x:c r="D14" s="100"/>
      <x:c r="E14" s="100"/>
      <x:c r="F14" s="100"/>
      <x:c r="G14" s="104"/>
      <x:c r="H14" s="104"/>
      <x:c r="I14" s="104"/>
      <x:c r="J14" s="104"/>
      <x:c r="K14" s="104"/>
      <x:c r="L14" s="104"/>
      <x:c r="M14" s="109"/>
      <x:c r="N14" s="109"/>
    </x:row>
    <x:row r="35">
      <x:c r="H35" s="18" t="str">
        <x:v>Expense Category</x:v>
      </x:c>
      <x:c r="I35" s="18" t="str">
        <x:v>Total</x:v>
      </x:c>
    </x:row>
    <x:row r="36">
      <x:c r="H36" t="str">
        <x:v>Rent</x:v>
      </x:c>
      <x:c r="I36" s="84" t="n">
        <x:f>SUMIF('06_EXPENSES'!$E$6:$E$105,H36,'06_EXPENSES'!$J$6:$J$105)</x:f>
        <x:v>1260000</x:v>
      </x:c>
    </x:row>
    <x:row r="37">
      <x:c r="H37" t="str">
        <x:v>Payroll</x:v>
      </x:c>
      <x:c r="I37" s="84" t="n">
        <x:f>SUMIF('06_EXPENSES'!$E$6:$E$105,H37,'06_EXPENSES'!$J$6:$J$105)</x:f>
        <x:v>1435000</x:v>
      </x:c>
    </x:row>
    <x:row r="38">
      <x:c r="H38" t="str">
        <x:v>Utilities</x:v>
      </x:c>
      <x:c r="I38" s="84" t="n">
        <x:f>SUMIF('06_EXPENSES'!$E$6:$E$105,H38,'06_EXPENSES'!$J$6:$J$105)</x:f>
        <x:v>245000</x:v>
      </x:c>
    </x:row>
    <x:row r="39">
      <x:c r="H39" t="str">
        <x:v>Marketing</x:v>
      </x:c>
      <x:c r="I39" s="84" t="n">
        <x:f>SUMIF('06_EXPENSES'!$E$6:$E$105,H39,'06_EXPENSES'!$J$6:$J$105)</x:f>
        <x:v>375000</x:v>
      </x:c>
    </x:row>
    <x:row r="40">
      <x:c r="H40" t="str">
        <x:v>Cleaning</x:v>
      </x:c>
      <x:c r="I40" s="84" t="n">
        <x:f>SUMIF('06_EXPENSES'!$E$6:$E$105,H40,'06_EXPENSES'!$J$6:$J$105)</x:f>
        <x:v>126000</x:v>
      </x:c>
    </x:row>
    <x:row r="41">
      <x:c r="H41" t="str">
        <x:v>Repairs &amp; Maintenance</x:v>
      </x:c>
      <x:c r="I41" s="84" t="n">
        <x:f>SUMIF('06_EXPENSES'!$E$6:$E$105,H41,'06_EXPENSES'!$J$6:$J$105)</x:f>
        <x:v>0</x:v>
      </x:c>
    </x:row>
    <x:row r="42">
      <x:c r="H42" t="str">
        <x:v>Equipment</x:v>
      </x:c>
      <x:c r="I42" s="84" t="n">
        <x:f>SUMIF('06_EXPENSES'!$E$6:$E$105,H42,'06_EXPENSES'!$J$6:$J$105)</x:f>
        <x:v>0</x:v>
      </x:c>
    </x:row>
    <x:row r="43">
      <x:c r="H43" t="str">
        <x:v>Supplies</x:v>
      </x:c>
      <x:c r="I43" s="84" t="n">
        <x:f>SUMIF('06_EXPENSES'!$E$6:$E$105,H43,'06_EXPENSES'!$J$6:$J$105)</x:f>
        <x:v>0</x:v>
      </x:c>
    </x:row>
    <x:row r="44">
      <x:c r="H44" t="str">
        <x:v>Software</x:v>
      </x:c>
      <x:c r="I44" s="84" t="n">
        <x:f>SUMIF('06_EXPENSES'!$E$6:$E$105,H44,'06_EXPENSES'!$J$6:$J$105)</x:f>
        <x:v>84000</x:v>
      </x:c>
    </x:row>
    <x:row r="45">
      <x:c r="H45" t="str">
        <x:v>Training</x:v>
      </x:c>
      <x:c r="I45" s="84" t="n">
        <x:f>SUMIF('06_EXPENSES'!$E$6:$E$105,H45,'06_EXPENSES'!$J$6:$J$105)</x:f>
        <x:v>0</x:v>
      </x:c>
    </x:row>
    <x:row r="46">
      <x:c r="H46" t="str">
        <x:v>Other</x:v>
      </x:c>
      <x:c r="I46" s="84" t="n">
        <x:f>SUMIF('06_EXPENSES'!$E$6:$E$105,H46,'06_EXPENSES'!$J$6:$J$105)</x:f>
        <x:v>0</x:v>
      </x:c>
    </x:row>
  </x:sheetData>
  <x:mergeCells>
    <x:mergeCell ref="A1:N1"/>
    <x:mergeCell ref="A2:N2"/>
    <x:mergeCell ref="A4:N4"/>
    <x:mergeCell ref="A6:C6"/>
    <x:mergeCell ref="A7:C9"/>
    <x:mergeCell ref="D6:F6"/>
    <x:mergeCell ref="D7:F9"/>
    <x:mergeCell ref="G6:I6"/>
    <x:mergeCell ref="G7:I9"/>
    <x:mergeCell ref="J6:L6"/>
    <x:mergeCell ref="J7:L9"/>
    <x:mergeCell ref="M6:N6"/>
    <x:mergeCell ref="M7:N9"/>
    <x:mergeCell ref="A11:C11"/>
    <x:mergeCell ref="A12:C14"/>
    <x:mergeCell ref="D11:F11"/>
    <x:mergeCell ref="D12:F14"/>
    <x:mergeCell ref="G11:I11"/>
    <x:mergeCell ref="G12:I14"/>
    <x:mergeCell ref="J11:L11"/>
    <x:mergeCell ref="J12:L14"/>
    <x:mergeCell ref="M11:N11"/>
    <x:mergeCell ref="M12:N14"/>
  </x:mergeCells>
  <x:conditionalFormatting sqref="G7:I9">
    <x:cfRule type="expression" dxfId="6" priority="1">
      <x:formula>G7&lt;0</x:formula>
    </x:cfRule>
  </x:conditionalFormatting>
  <x:conditionalFormatting sqref="J7:L9">
    <x:cfRule type="expression" dxfId="7" priority="2">
      <x:formula>J7&lt;0</x:formula>
    </x:cfRule>
  </x:conditionalFormatting>
  <x:pageMargins left="0.7" right="0.7" top="0.75" bottom="0.75" header="0.3" footer="0.3"/>
  <x:drawing xmlns:r="http://schemas.openxmlformats.org/officeDocument/2006/relationships" r:id="Rce1e8102b80c4322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4" customHeight="1">
      <x:c r="A1" s="4" t="str">
        <x:v>SHAREHOLDER ANALYTICS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10" t="str">
        <x:v>Detailed, aggregated metrics for governance and performance review. Client health notes are excluded.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Month</x:v>
      </x:c>
      <x:c r="B4" s="18" t="str">
        <x:v>Revenue</x:v>
      </x:c>
      <x:c r="C4" s="18" t="str">
        <x:v>Expenses</x:v>
      </x:c>
      <x:c r="D4" s="18" t="str">
        <x:v>Profit</x:v>
      </x:c>
      <x:c r="E4" s="18" t="str">
        <x:v>Margin</x:v>
      </x:c>
      <x:c r="F4" s="18" t="str">
        <x:v>Cash Collected</x:v>
      </x:c>
      <x:c r="G4" s="18" t="str">
        <x:v>Cash Paid</x:v>
      </x:c>
      <x:c r="H4" s="18" t="str">
        <x:v>Cash Surplus</x:v>
      </x:c>
      <x:c r="I4" s="18" t="str">
        <x:v>New Members</x:v>
      </x:c>
      <x:c r="J4" s="18" t="str">
        <x:v>Classes</x:v>
      </x:c>
      <x:c r="K4" s="18" t="str">
        <x:v>Attendance</x:v>
      </x:c>
      <x:c r="L4" s="18" t="str">
        <x:v>Leads</x:v>
      </x:c>
      <x:c r="M4" s="18" t="str">
        <x:v>Conversions</x:v>
      </x:c>
      <x:c r="N4" s="18" t="str">
        <x:v>Conversion Rate</x:v>
      </x:c>
    </x:row>
    <x:row r="5">
      <x:c r="A5" s="82" t="n">
        <x:f>'_BACKEND_MONTHLY'!A5</x:f>
        <x:v>46023</x:v>
      </x:c>
      <x:c r="B5" s="84" t="n">
        <x:f>'_BACKEND_MONTHLY'!B5</x:f>
        <x:v>88000</x:v>
      </x:c>
      <x:c r="C5" s="84" t="n">
        <x:f>'_BACKEND_MONTHLY'!D5</x:f>
        <x:v>495000</x:v>
      </x:c>
      <x:c r="D5" s="84" t="n">
        <x:f>'_BACKEND_MONTHLY'!F5</x:f>
        <x:v>-407000</x:v>
      </x:c>
      <x:c r="E5" s="86" t="n">
        <x:f>'_BACKEND_MONTHLY'!H5</x:f>
        <x:v>-4.625</x:v>
      </x:c>
      <x:c r="F5" s="84" t="n">
        <x:f>'_BACKEND_MONTHLY'!C5</x:f>
        <x:v>85000</x:v>
      </x:c>
      <x:c r="G5" s="84" t="n">
        <x:f>'_BACKEND_MONTHLY'!E5</x:f>
        <x:v>495000</x:v>
      </x:c>
      <x:c r="H5" s="84" t="n">
        <x:f>'_BACKEND_MONTHLY'!G5</x:f>
        <x:v>-410000</x:v>
      </x:c>
      <x:c r="I5" t="n">
        <x:f>'_BACKEND_MONTHLY'!J5</x:f>
        <x:v>2</x:v>
      </x:c>
      <x:c r="J5" t="n">
        <x:f>'_BACKEND_MONTHLY'!K5</x:f>
        <x:v>4</x:v>
      </x:c>
      <x:c r="K5" t="n">
        <x:f>'_BACKEND_MONTHLY'!L5</x:f>
        <x:v>17</x:v>
      </x:c>
      <x:c r="L5" t="n">
        <x:f>'_BACKEND_MONTHLY'!M5</x:f>
        <x:v>6</x:v>
      </x:c>
      <x:c r="M5" t="n">
        <x:f>'_BACKEND_MONTHLY'!N5</x:f>
        <x:v>2</x:v>
      </x:c>
      <x:c r="N5" s="86" t="n">
        <x:f>IFERROR(M5/L5,0)</x:f>
        <x:v>0.3333333333333333</x:v>
      </x:c>
    </x:row>
    <x:row r="6">
      <x:c r="A6" s="82" t="n">
        <x:f>'_BACKEND_MONTHLY'!A6</x:f>
        <x:v>46054</x:v>
      </x:c>
      <x:c r="B6" s="84" t="n">
        <x:f>'_BACKEND_MONTHLY'!B6</x:f>
        <x:v>100000</x:v>
      </x:c>
      <x:c r="C6" s="84" t="n">
        <x:f>'_BACKEND_MONTHLY'!D6</x:f>
        <x:v>505000</x:v>
      </x:c>
      <x:c r="D6" s="84" t="n">
        <x:f>'_BACKEND_MONTHLY'!F6</x:f>
        <x:v>-405000</x:v>
      </x:c>
      <x:c r="E6" s="86" t="n">
        <x:f>'_BACKEND_MONTHLY'!H6</x:f>
        <x:v>-4.05</x:v>
      </x:c>
      <x:c r="F6" s="84" t="n">
        <x:f>'_BACKEND_MONTHLY'!C6</x:f>
        <x:v>97000</x:v>
      </x:c>
      <x:c r="G6" s="84" t="n">
        <x:f>'_BACKEND_MONTHLY'!E6</x:f>
        <x:v>505000</x:v>
      </x:c>
      <x:c r="H6" s="84" t="n">
        <x:f>'_BACKEND_MONTHLY'!G6</x:f>
        <x:v>-408000</x:v>
      </x:c>
      <x:c r="I6" t="n">
        <x:f>'_BACKEND_MONTHLY'!J6</x:f>
        <x:v>3</x:v>
      </x:c>
      <x:c r="J6" t="n">
        <x:f>'_BACKEND_MONTHLY'!K6</x:f>
        <x:v>4</x:v>
      </x:c>
      <x:c r="K6" t="n">
        <x:f>'_BACKEND_MONTHLY'!L6</x:f>
        <x:v>17</x:v>
      </x:c>
      <x:c r="L6" t="n">
        <x:f>'_BACKEND_MONTHLY'!M6</x:f>
        <x:v>6</x:v>
      </x:c>
      <x:c r="M6" t="n">
        <x:f>'_BACKEND_MONTHLY'!N6</x:f>
        <x:v>2</x:v>
      </x:c>
      <x:c r="N6" s="86" t="n">
        <x:f>IFERROR(M6/L6,0)</x:f>
        <x:v>0.3333333333333333</x:v>
      </x:c>
    </x:row>
    <x:row r="7">
      <x:c r="A7" s="82" t="n">
        <x:f>'_BACKEND_MONTHLY'!A7</x:f>
        <x:v>46082</x:v>
      </x:c>
      <x:c r="B7" s="84" t="n">
        <x:f>'_BACKEND_MONTHLY'!B7</x:f>
        <x:v>104000</x:v>
      </x:c>
      <x:c r="C7" s="84" t="n">
        <x:f>'_BACKEND_MONTHLY'!D7</x:f>
        <x:v>515000</x:v>
      </x:c>
      <x:c r="D7" s="84" t="n">
        <x:f>'_BACKEND_MONTHLY'!F7</x:f>
        <x:v>-411000</x:v>
      </x:c>
      <x:c r="E7" s="86" t="n">
        <x:f>'_BACKEND_MONTHLY'!H7</x:f>
        <x:v>-3.951923076923077</x:v>
      </x:c>
      <x:c r="F7" s="84" t="n">
        <x:f>'_BACKEND_MONTHLY'!C7</x:f>
        <x:v>104000</x:v>
      </x:c>
      <x:c r="G7" s="84" t="n">
        <x:f>'_BACKEND_MONTHLY'!E7</x:f>
        <x:v>515000</x:v>
      </x:c>
      <x:c r="H7" s="84" t="n">
        <x:f>'_BACKEND_MONTHLY'!G7</x:f>
        <x:v>-411000</x:v>
      </x:c>
      <x:c r="I7" t="n">
        <x:f>'_BACKEND_MONTHLY'!J7</x:f>
        <x:v>2</x:v>
      </x:c>
      <x:c r="J7" t="n">
        <x:f>'_BACKEND_MONTHLY'!K7</x:f>
        <x:v>5</x:v>
      </x:c>
      <x:c r="K7" t="n">
        <x:f>'_BACKEND_MONTHLY'!L7</x:f>
        <x:v>18</x:v>
      </x:c>
      <x:c r="L7" t="n">
        <x:f>'_BACKEND_MONTHLY'!M7</x:f>
        <x:v>6</x:v>
      </x:c>
      <x:c r="M7" t="n">
        <x:f>'_BACKEND_MONTHLY'!N7</x:f>
        <x:v>2</x:v>
      </x:c>
      <x:c r="N7" s="86" t="n">
        <x:f>IFERROR(M7/L7,0)</x:f>
        <x:v>0.3333333333333333</x:v>
      </x:c>
    </x:row>
    <x:row r="8">
      <x:c r="A8" s="82" t="n">
        <x:f>'_BACKEND_MONTHLY'!A8</x:f>
        <x:v>46113</x:v>
      </x:c>
      <x:c r="B8" s="84" t="n">
        <x:f>'_BACKEND_MONTHLY'!B8</x:f>
        <x:v>110000</x:v>
      </x:c>
      <x:c r="C8" s="84" t="n">
        <x:f>'_BACKEND_MONTHLY'!D8</x:f>
        <x:v>495000</x:v>
      </x:c>
      <x:c r="D8" s="84" t="n">
        <x:f>'_BACKEND_MONTHLY'!F8</x:f>
        <x:v>-385000</x:v>
      </x:c>
      <x:c r="E8" s="86" t="n">
        <x:f>'_BACKEND_MONTHLY'!H8</x:f>
        <x:v>-3.5</x:v>
      </x:c>
      <x:c r="F8" s="84" t="n">
        <x:f>'_BACKEND_MONTHLY'!C8</x:f>
        <x:v>107000</x:v>
      </x:c>
      <x:c r="G8" s="84" t="n">
        <x:f>'_BACKEND_MONTHLY'!E8</x:f>
        <x:v>495000</x:v>
      </x:c>
      <x:c r="H8" s="84" t="n">
        <x:f>'_BACKEND_MONTHLY'!G8</x:f>
        <x:v>-388000</x:v>
      </x:c>
      <x:c r="I8" t="n">
        <x:f>'_BACKEND_MONTHLY'!J8</x:f>
        <x:v>3</x:v>
      </x:c>
      <x:c r="J8" t="n">
        <x:f>'_BACKEND_MONTHLY'!K8</x:f>
        <x:v>4</x:v>
      </x:c>
      <x:c r="K8" t="n">
        <x:f>'_BACKEND_MONTHLY'!L8</x:f>
        <x:v>18</x:v>
      </x:c>
      <x:c r="L8" t="n">
        <x:f>'_BACKEND_MONTHLY'!M8</x:f>
        <x:v>6</x:v>
      </x:c>
      <x:c r="M8" t="n">
        <x:f>'_BACKEND_MONTHLY'!N8</x:f>
        <x:v>2</x:v>
      </x:c>
      <x:c r="N8" s="86" t="n">
        <x:f>IFERROR(M8/L8,0)</x:f>
        <x:v>0.3333333333333333</x:v>
      </x:c>
    </x:row>
    <x:row r="9">
      <x:c r="A9" s="82" t="n">
        <x:f>'_BACKEND_MONTHLY'!A9</x:f>
        <x:v>46143</x:v>
      </x:c>
      <x:c r="B9" s="84" t="n">
        <x:f>'_BACKEND_MONTHLY'!B9</x:f>
        <x:v>96000</x:v>
      </x:c>
      <x:c r="C9" s="84" t="n">
        <x:f>'_BACKEND_MONTHLY'!D9</x:f>
        <x:v>505000</x:v>
      </x:c>
      <x:c r="D9" s="84" t="n">
        <x:f>'_BACKEND_MONTHLY'!F9</x:f>
        <x:v>-409000</x:v>
      </x:c>
      <x:c r="E9" s="86" t="n">
        <x:f>'_BACKEND_MONTHLY'!H9</x:f>
        <x:v>-4.260416666666667</x:v>
      </x:c>
      <x:c r="F9" s="84" t="n">
        <x:f>'_BACKEND_MONTHLY'!C9</x:f>
        <x:v>93000</x:v>
      </x:c>
      <x:c r="G9" s="84" t="n">
        <x:f>'_BACKEND_MONTHLY'!E9</x:f>
        <x:v>505000</x:v>
      </x:c>
      <x:c r="H9" s="84" t="n">
        <x:f>'_BACKEND_MONTHLY'!G9</x:f>
        <x:v>-412000</x:v>
      </x:c>
      <x:c r="I9" t="n">
        <x:f>'_BACKEND_MONTHLY'!J9</x:f>
        <x:v>2</x:v>
      </x:c>
      <x:c r="J9" t="n">
        <x:f>'_BACKEND_MONTHLY'!K9</x:f>
        <x:v>4</x:v>
      </x:c>
      <x:c r="K9" t="n">
        <x:f>'_BACKEND_MONTHLY'!L9</x:f>
        <x:v>13</x:v>
      </x:c>
      <x:c r="L9" t="n">
        <x:f>'_BACKEND_MONTHLY'!M9</x:f>
        <x:v>6</x:v>
      </x:c>
      <x:c r="M9" t="n">
        <x:f>'_BACKEND_MONTHLY'!N9</x:f>
        <x:v>2</x:v>
      </x:c>
      <x:c r="N9" s="86" t="n">
        <x:f>IFERROR(M9/L9,0)</x:f>
        <x:v>0.3333333333333333</x:v>
      </x:c>
    </x:row>
    <x:row r="10">
      <x:c r="A10" s="82" t="n">
        <x:f>'_BACKEND_MONTHLY'!A10</x:f>
        <x:v>46174</x:v>
      </x:c>
      <x:c r="B10" s="84" t="n">
        <x:f>'_BACKEND_MONTHLY'!B10</x:f>
        <x:v>118000</x:v>
      </x:c>
      <x:c r="C10" s="84" t="n">
        <x:f>'_BACKEND_MONTHLY'!D10</x:f>
        <x:v>515000</x:v>
      </x:c>
      <x:c r="D10" s="84" t="n">
        <x:f>'_BACKEND_MONTHLY'!F10</x:f>
        <x:v>-397000</x:v>
      </x:c>
      <x:c r="E10" s="86" t="n">
        <x:f>'_BACKEND_MONTHLY'!H10</x:f>
        <x:v>-3.364406779661017</x:v>
      </x:c>
      <x:c r="F10" s="84" t="n">
        <x:f>'_BACKEND_MONTHLY'!C10</x:f>
        <x:v>118000</x:v>
      </x:c>
      <x:c r="G10" s="84" t="n">
        <x:f>'_BACKEND_MONTHLY'!E10</x:f>
        <x:v>515000</x:v>
      </x:c>
      <x:c r="H10" s="84" t="n">
        <x:f>'_BACKEND_MONTHLY'!G10</x:f>
        <x:v>-397000</x:v>
      </x:c>
      <x:c r="I10" t="n">
        <x:f>'_BACKEND_MONTHLY'!J10</x:f>
        <x:v>0</x:v>
      </x:c>
      <x:c r="J10" t="n">
        <x:f>'_BACKEND_MONTHLY'!K10</x:f>
        <x:v>5</x:v>
      </x:c>
      <x:c r="K10" t="n">
        <x:f>'_BACKEND_MONTHLY'!L10</x:f>
        <x:v>0</x:v>
      </x:c>
      <x:c r="L10" t="n">
        <x:f>'_BACKEND_MONTHLY'!M10</x:f>
        <x:v>6</x:v>
      </x:c>
      <x:c r="M10" t="n">
        <x:f>'_BACKEND_MONTHLY'!N10</x:f>
        <x:v>2</x:v>
      </x:c>
      <x:c r="N10" s="86" t="n">
        <x:f>IFERROR(M10/L10,0)</x:f>
        <x:v>0.3333333333333333</x:v>
      </x:c>
    </x:row>
    <x:row r="11">
      <x:c r="A11" s="82" t="n">
        <x:f>'_BACKEND_MONTHLY'!A11</x:f>
        <x:v>46204</x:v>
      </x:c>
      <x:c r="B11" s="84" t="n">
        <x:f>'_BACKEND_MONTHLY'!B11</x:f>
        <x:v>100000</x:v>
      </x:c>
      <x:c r="C11" s="84" t="n">
        <x:f>'_BACKEND_MONTHLY'!D11</x:f>
        <x:v>495000</x:v>
      </x:c>
      <x:c r="D11" s="84" t="n">
        <x:f>'_BACKEND_MONTHLY'!F11</x:f>
        <x:v>-395000</x:v>
      </x:c>
      <x:c r="E11" s="86" t="n">
        <x:f>'_BACKEND_MONTHLY'!H11</x:f>
        <x:v>-3.95</x:v>
      </x:c>
      <x:c r="F11" s="84" t="n">
        <x:f>'_BACKEND_MONTHLY'!C11</x:f>
        <x:v>97000</x:v>
      </x:c>
      <x:c r="G11" s="84" t="n">
        <x:f>'_BACKEND_MONTHLY'!E11</x:f>
        <x:v>495000</x:v>
      </x:c>
      <x:c r="H11" s="84" t="n">
        <x:f>'_BACKEND_MONTHLY'!G11</x:f>
        <x:v>-398000</x:v>
      </x:c>
      <x:c r="I11" t="n">
        <x:f>'_BACKEND_MONTHLY'!J11</x:f>
        <x:v>0</x:v>
      </x:c>
      <x:c r="J11" t="n">
        <x:f>'_BACKEND_MONTHLY'!K11</x:f>
        <x:v>4</x:v>
      </x:c>
      <x:c r="K11" t="n">
        <x:f>'_BACKEND_MONTHLY'!L11</x:f>
        <x:v>0</x:v>
      </x:c>
      <x:c r="L11" t="n">
        <x:f>'_BACKEND_MONTHLY'!M11</x:f>
        <x:v>4</x:v>
      </x:c>
      <x:c r="M11" t="n">
        <x:f>'_BACKEND_MONTHLY'!N11</x:f>
        <x:v>2</x:v>
      </x:c>
      <x:c r="N11" s="86" t="n">
        <x:f>IFERROR(M11/L11,0)</x:f>
        <x:v>0.5</x:v>
      </x:c>
    </x:row>
    <x:row r="12">
      <x:c r="A12" s="82" t="n">
        <x:f>'_BACKEND_MONTHLY'!A12</x:f>
        <x:v>46235</x:v>
      </x:c>
      <x:c r="B12" s="84" t="n">
        <x:f>'_BACKEND_MONTHLY'!B12</x:f>
        <x:v>16000</x:v>
      </x:c>
      <x:c r="C12" s="84" t="n">
        <x:f>'_BACKEND_MONTHLY'!D12</x:f>
        <x:v>0</x:v>
      </x:c>
      <x:c r="D12" s="84" t="n">
        <x:f>'_BACKEND_MONTHLY'!F12</x:f>
        <x:v>16000</x:v>
      </x:c>
      <x:c r="E12" s="86" t="n">
        <x:f>'_BACKEND_MONTHLY'!H12</x:f>
        <x:v>1</x:v>
      </x:c>
      <x:c r="F12" s="84" t="n">
        <x:f>'_BACKEND_MONTHLY'!C12</x:f>
        <x:v>16000</x:v>
      </x:c>
      <x:c r="G12" s="84" t="n">
        <x:f>'_BACKEND_MONTHLY'!E12</x:f>
        <x:v>0</x:v>
      </x:c>
      <x:c r="H12" s="84" t="n">
        <x:f>'_BACKEND_MONTHLY'!G12</x:f>
        <x:v>16000</x:v>
      </x:c>
      <x:c r="I12" t="n">
        <x:f>'_BACKEND_MONTHLY'!J12</x:f>
        <x:v>0</x:v>
      </x:c>
      <x:c r="J12" t="n">
        <x:f>'_BACKEND_MONTHLY'!K12</x:f>
        <x:v>0</x:v>
      </x:c>
      <x:c r="K12" t="n">
        <x:f>'_BACKEND_MONTHLY'!L12</x:f>
        <x:v>0</x:v>
      </x:c>
      <x:c r="L12" t="n">
        <x:f>'_BACKEND_MONTHLY'!M12</x:f>
        <x:v>0</x:v>
      </x:c>
      <x:c r="M12" t="n">
        <x:f>'_BACKEND_MONTHLY'!N12</x:f>
        <x:v>0</x:v>
      </x:c>
      <x:c r="N12" s="86" t="n">
        <x:f>IFERROR(M12/L12,0)</x:f>
        <x:v>0</x:v>
      </x:c>
    </x:row>
    <x:row r="13">
      <x:c r="A13" s="82" t="n">
        <x:f>'_BACKEND_MONTHLY'!A13</x:f>
        <x:v>46266</x:v>
      </x:c>
      <x:c r="B13" s="84" t="n">
        <x:f>'_BACKEND_MONTHLY'!B13</x:f>
        <x:v>0</x:v>
      </x:c>
      <x:c r="C13" s="84" t="n">
        <x:f>'_BACKEND_MONTHLY'!D13</x:f>
        <x:v>0</x:v>
      </x:c>
      <x:c r="D13" s="84" t="n">
        <x:f>'_BACKEND_MONTHLY'!F13</x:f>
        <x:v>0</x:v>
      </x:c>
      <x:c r="E13" s="86" t="n">
        <x:f>'_BACKEND_MONTHLY'!H13</x:f>
        <x:v>0</x:v>
      </x:c>
      <x:c r="F13" s="84" t="n">
        <x:f>'_BACKEND_MONTHLY'!C13</x:f>
        <x:v>0</x:v>
      </x:c>
      <x:c r="G13" s="84" t="n">
        <x:f>'_BACKEND_MONTHLY'!E13</x:f>
        <x:v>0</x:v>
      </x:c>
      <x:c r="H13" s="84" t="n">
        <x:f>'_BACKEND_MONTHLY'!G13</x:f>
        <x:v>0</x:v>
      </x:c>
      <x:c r="I13" t="n">
        <x:f>'_BACKEND_MONTHLY'!J13</x:f>
        <x:v>0</x:v>
      </x:c>
      <x:c r="J13" t="n">
        <x:f>'_BACKEND_MONTHLY'!K13</x:f>
        <x:v>0</x:v>
      </x:c>
      <x:c r="K13" t="n">
        <x:f>'_BACKEND_MONTHLY'!L13</x:f>
        <x:v>0</x:v>
      </x:c>
      <x:c r="L13" t="n">
        <x:f>'_BACKEND_MONTHLY'!M13</x:f>
        <x:v>0</x:v>
      </x:c>
      <x:c r="M13" t="n">
        <x:f>'_BACKEND_MONTHLY'!N13</x:f>
        <x:v>0</x:v>
      </x:c>
      <x:c r="N13" s="86" t="n">
        <x:f>IFERROR(M13/L13,0)</x:f>
        <x:v>0</x:v>
      </x:c>
    </x:row>
    <x:row r="14">
      <x:c r="A14" s="82" t="n">
        <x:f>'_BACKEND_MONTHLY'!A14</x:f>
        <x:v>46296</x:v>
      </x:c>
      <x:c r="B14" s="84" t="n">
        <x:f>'_BACKEND_MONTHLY'!B14</x:f>
        <x:v>0</x:v>
      </x:c>
      <x:c r="C14" s="84" t="n">
        <x:f>'_BACKEND_MONTHLY'!D14</x:f>
        <x:v>0</x:v>
      </x:c>
      <x:c r="D14" s="84" t="n">
        <x:f>'_BACKEND_MONTHLY'!F14</x:f>
        <x:v>0</x:v>
      </x:c>
      <x:c r="E14" s="86" t="n">
        <x:f>'_BACKEND_MONTHLY'!H14</x:f>
        <x:v>0</x:v>
      </x:c>
      <x:c r="F14" s="84" t="n">
        <x:f>'_BACKEND_MONTHLY'!C14</x:f>
        <x:v>0</x:v>
      </x:c>
      <x:c r="G14" s="84" t="n">
        <x:f>'_BACKEND_MONTHLY'!E14</x:f>
        <x:v>0</x:v>
      </x:c>
      <x:c r="H14" s="84" t="n">
        <x:f>'_BACKEND_MONTHLY'!G14</x:f>
        <x:v>0</x:v>
      </x:c>
      <x:c r="I14" t="n">
        <x:f>'_BACKEND_MONTHLY'!J14</x:f>
        <x:v>0</x:v>
      </x:c>
      <x:c r="J14" t="n">
        <x:f>'_BACKEND_MONTHLY'!K14</x:f>
        <x:v>0</x:v>
      </x:c>
      <x:c r="K14" t="n">
        <x:f>'_BACKEND_MONTHLY'!L14</x:f>
        <x:v>0</x:v>
      </x:c>
      <x:c r="L14" t="n">
        <x:f>'_BACKEND_MONTHLY'!M14</x:f>
        <x:v>0</x:v>
      </x:c>
      <x:c r="M14" t="n">
        <x:f>'_BACKEND_MONTHLY'!N14</x:f>
        <x:v>0</x:v>
      </x:c>
      <x:c r="N14" s="86" t="n">
        <x:f>IFERROR(M14/L14,0)</x:f>
        <x:v>0</x:v>
      </x:c>
    </x:row>
    <x:row r="15">
      <x:c r="A15" s="82" t="n">
        <x:f>'_BACKEND_MONTHLY'!A15</x:f>
        <x:v>46327</x:v>
      </x:c>
      <x:c r="B15" s="84" t="n">
        <x:f>'_BACKEND_MONTHLY'!B15</x:f>
        <x:v>0</x:v>
      </x:c>
      <x:c r="C15" s="84" t="n">
        <x:f>'_BACKEND_MONTHLY'!D15</x:f>
        <x:v>0</x:v>
      </x:c>
      <x:c r="D15" s="84" t="n">
        <x:f>'_BACKEND_MONTHLY'!F15</x:f>
        <x:v>0</x:v>
      </x:c>
      <x:c r="E15" s="86" t="n">
        <x:f>'_BACKEND_MONTHLY'!H15</x:f>
        <x:v>0</x:v>
      </x:c>
      <x:c r="F15" s="84" t="n">
        <x:f>'_BACKEND_MONTHLY'!C15</x:f>
        <x:v>0</x:v>
      </x:c>
      <x:c r="G15" s="84" t="n">
        <x:f>'_BACKEND_MONTHLY'!E15</x:f>
        <x:v>0</x:v>
      </x:c>
      <x:c r="H15" s="84" t="n">
        <x:f>'_BACKEND_MONTHLY'!G15</x:f>
        <x:v>0</x:v>
      </x:c>
      <x:c r="I15" t="n">
        <x:f>'_BACKEND_MONTHLY'!J15</x:f>
        <x:v>0</x:v>
      </x:c>
      <x:c r="J15" t="n">
        <x:f>'_BACKEND_MONTHLY'!K15</x:f>
        <x:v>0</x:v>
      </x:c>
      <x:c r="K15" t="n">
        <x:f>'_BACKEND_MONTHLY'!L15</x:f>
        <x:v>0</x:v>
      </x:c>
      <x:c r="L15" t="n">
        <x:f>'_BACKEND_MONTHLY'!M15</x:f>
        <x:v>0</x:v>
      </x:c>
      <x:c r="M15" t="n">
        <x:f>'_BACKEND_MONTHLY'!N15</x:f>
        <x:v>0</x:v>
      </x:c>
      <x:c r="N15" s="86" t="n">
        <x:f>IFERROR(M15/L15,0)</x:f>
        <x:v>0</x:v>
      </x:c>
    </x:row>
    <x:row r="16">
      <x:c r="A16" s="82" t="n">
        <x:f>'_BACKEND_MONTHLY'!A16</x:f>
        <x:v>46357</x:v>
      </x:c>
      <x:c r="B16" s="84" t="n">
        <x:f>'_BACKEND_MONTHLY'!B16</x:f>
        <x:v>0</x:v>
      </x:c>
      <x:c r="C16" s="84" t="n">
        <x:f>'_BACKEND_MONTHLY'!D16</x:f>
        <x:v>0</x:v>
      </x:c>
      <x:c r="D16" s="84" t="n">
        <x:f>'_BACKEND_MONTHLY'!F16</x:f>
        <x:v>0</x:v>
      </x:c>
      <x:c r="E16" s="86" t="n">
        <x:f>'_BACKEND_MONTHLY'!H16</x:f>
        <x:v>0</x:v>
      </x:c>
      <x:c r="F16" s="84" t="n">
        <x:f>'_BACKEND_MONTHLY'!C16</x:f>
        <x:v>0</x:v>
      </x:c>
      <x:c r="G16" s="84" t="n">
        <x:f>'_BACKEND_MONTHLY'!E16</x:f>
        <x:v>0</x:v>
      </x:c>
      <x:c r="H16" s="84" t="n">
        <x:f>'_BACKEND_MONTHLY'!G16</x:f>
        <x:v>0</x:v>
      </x:c>
      <x:c r="I16" t="n">
        <x:f>'_BACKEND_MONTHLY'!J16</x:f>
        <x:v>0</x:v>
      </x:c>
      <x:c r="J16" t="n">
        <x:f>'_BACKEND_MONTHLY'!K16</x:f>
        <x:v>0</x:v>
      </x:c>
      <x:c r="K16" t="n">
        <x:f>'_BACKEND_MONTHLY'!L16</x:f>
        <x:v>0</x:v>
      </x:c>
      <x:c r="L16" t="n">
        <x:f>'_BACKEND_MONTHLY'!M16</x:f>
        <x:v>0</x:v>
      </x:c>
      <x:c r="M16" t="n">
        <x:f>'_BACKEND_MONTHLY'!N16</x:f>
        <x:v>0</x:v>
      </x:c>
      <x:c r="N16" s="86" t="n">
        <x:f>IFERROR(M16/L16,0)</x:f>
        <x:v>0</x:v>
      </x:c>
    </x:row>
    <x:row r="39">
      <x:c r="A39" s="18" t="str">
        <x:v>Revenue Category</x:v>
      </x:c>
      <x:c r="B39" s="18" t="str">
        <x:v>Revenue</x:v>
      </x:c>
      <x:c r="D39" s="18" t="str">
        <x:v>Lead Source</x:v>
      </x:c>
      <x:c r="E39" s="18" t="str">
        <x:v>Leads</x:v>
      </x:c>
      <x:c r="G39" s="18" t="str">
        <x:v>Membership Plan</x:v>
      </x:c>
      <x:c r="H39" s="18" t="str">
        <x:v>Members</x:v>
      </x:c>
    </x:row>
    <x:row r="40">
      <x:c r="A40" t="str">
        <x:v>Membership</x:v>
      </x:c>
      <x:c r="B40" s="84" t="n">
        <x:f>SUMIF('05_SALES_PAYMENTS'!$G$6:$G$105,A40,'05_SALES_PAYMENTS'!$L$6:$L$105)</x:f>
        <x:v>732000</x:v>
      </x:c>
      <x:c r="D40" t="str">
        <x:v>Instagram</x:v>
      </x:c>
      <x:c r="E40" t="n">
        <x:f>COUNTIF('07_LEADS_TRIALS'!$F$6:$F$105,D40)</x:f>
        <x:v>10</x:v>
      </x:c>
      <x:c r="G40" t="str">
        <x:v>Intro 3 Sessions</x:v>
      </x:c>
      <x:c r="H40" t="n">
        <x:f>COUNTIF('02_MEMBERS'!$H$6:$H$105,G40)</x:f>
        <x:v>0</x:v>
      </x:c>
    </x:row>
    <x:row r="41">
      <x:c r="A41" t="str">
        <x:v>Trial Class</x:v>
      </x:c>
      <x:c r="B41" s="84" t="n">
        <x:f>SUMIF('05_SALES_PAYMENTS'!$G$6:$G$105,A41,'05_SALES_PAYMENTS'!$L$6:$L$105)</x:f>
        <x:v>0</x:v>
      </x:c>
      <x:c r="D41" t="str">
        <x:v>Facebook</x:v>
      </x:c>
      <x:c r="E41" t="n">
        <x:f>COUNTIF('07_LEADS_TRIALS'!$F$6:$F$105,D41)</x:f>
        <x:v>0</x:v>
      </x:c>
      <x:c r="G41" t="str">
        <x:v>Monthly 8</x:v>
      </x:c>
      <x:c r="H41" t="n">
        <x:f>COUNTIF('02_MEMBERS'!$H$6:$H$105,G41)</x:f>
        <x:v>4</x:v>
      </x:c>
    </x:row>
    <x:row r="42">
      <x:c r="A42" t="str">
        <x:v>Private Session</x:v>
      </x:c>
      <x:c r="B42" s="84" t="n">
        <x:f>SUMIF('05_SALES_PAYMENTS'!$G$6:$G$105,A42,'05_SALES_PAYMENTS'!$L$6:$L$105)</x:f>
        <x:v>0</x:v>
      </x:c>
      <x:c r="D42" t="str">
        <x:v>Google Search</x:v>
      </x:c>
      <x:c r="E42" t="n">
        <x:f>COUNTIF('07_LEADS_TRIALS'!$F$6:$F$105,D42)</x:f>
        <x:v>10</x:v>
      </x:c>
      <x:c r="G42" t="str">
        <x:v>Monthly 12</x:v>
      </x:c>
      <x:c r="H42" t="n">
        <x:f>COUNTIF('02_MEMBERS'!$H$6:$H$105,G42)</x:f>
        <x:v>3</x:v>
      </x:c>
    </x:row>
    <x:row r="43">
      <x:c r="A43" t="str">
        <x:v>Drop-in Class</x:v>
      </x:c>
      <x:c r="B43" s="84" t="n">
        <x:f>SUMIF('05_SALES_PAYMENTS'!$G$6:$G$105,A43,'05_SALES_PAYMENTS'!$L$6:$L$105)</x:f>
        <x:v>0</x:v>
      </x:c>
      <x:c r="D43" t="str">
        <x:v>Google Maps</x:v>
      </x:c>
      <x:c r="E43" t="n">
        <x:f>COUNTIF('07_LEADS_TRIALS'!$F$6:$F$105,D43)</x:f>
        <x:v>0</x:v>
      </x:c>
      <x:c r="G43" t="str">
        <x:v>Unlimited Monthly</x:v>
      </x:c>
      <x:c r="H43" t="n">
        <x:f>COUNTIF('02_MEMBERS'!$H$6:$H$105,G43)</x:f>
        <x:v>2</x:v>
      </x:c>
    </x:row>
    <x:row r="44">
      <x:c r="A44" t="str">
        <x:v>Retail / Merchandise</x:v>
      </x:c>
      <x:c r="B44" s="84" t="n">
        <x:f>SUMIF('05_SALES_PAYMENTS'!$G$6:$G$105,A44,'05_SALES_PAYMENTS'!$L$6:$L$105)</x:f>
        <x:v>0</x:v>
      </x:c>
      <x:c r="D44" t="str">
        <x:v>Referral</x:v>
      </x:c>
      <x:c r="E44" t="n">
        <x:f>COUNTIF('07_LEADS_TRIALS'!$F$6:$F$105,D44)</x:f>
        <x:v>10</x:v>
      </x:c>
      <x:c r="G44" t="str">
        <x:v>Private 5</x:v>
      </x:c>
      <x:c r="H44" t="n">
        <x:f>COUNTIF('02_MEMBERS'!$H$6:$H$105,G44)</x:f>
        <x:v>2</x:v>
      </x:c>
    </x:row>
    <x:row r="45">
      <x:c r="A45" t="str">
        <x:v>Workshop</x:v>
      </x:c>
      <x:c r="B45" s="84" t="n">
        <x:f>SUMIF('05_SALES_PAYMENTS'!$G$6:$G$105,A45,'05_SALES_PAYMENTS'!$L$6:$L$105)</x:f>
        <x:v>0</x:v>
      </x:c>
      <x:c r="D45" t="str">
        <x:v>Walk-in</x:v>
      </x:c>
      <x:c r="E45" t="n">
        <x:f>COUNTIF('07_LEADS_TRIALS'!$F$6:$F$105,D45)</x:f>
        <x:v>10</x:v>
      </x:c>
      <x:c r="G45" t="str">
        <x:v>Quarterly 24</x:v>
      </x:c>
      <x:c r="H45" t="n">
        <x:f>COUNTIF('02_MEMBERS'!$H$6:$H$105,G45)</x:f>
        <x:v>1</x:v>
      </x:c>
    </x:row>
    <x:row r="46">
      <x:c r="A46" t="str">
        <x:v>Other</x:v>
      </x:c>
      <x:c r="B46" s="84" t="n">
        <x:f>SUMIF('05_SALES_PAYMENTS'!$G$6:$G$105,A46,'05_SALES_PAYMENTS'!$L$6:$L$105)</x:f>
        <x:v>0</x:v>
      </x:c>
      <x:c r="D46" t="str">
        <x:v>Website</x:v>
      </x:c>
      <x:c r="E46" t="n">
        <x:f>COUNTIF('07_LEADS_TRIALS'!$F$6:$F$105,D46)</x:f>
        <x:v>0</x:v>
      </x:c>
      <x:c r="G46" t="str">
        <x:v>Annual Unlimited</x:v>
      </x:c>
      <x:c r="H46" t="n">
        <x:f>COUNTIF('02_MEMBERS'!$H$6:$H$105,G46)</x:f>
        <x:v>0</x:v>
      </x:c>
    </x:row>
    <x:row r="47">
      <x:c r="D47" t="str">
        <x:v>Corporate Partnership</x:v>
      </x:c>
      <x:c r="E47" t="n">
        <x:f>COUNTIF('07_LEADS_TRIALS'!$F$6:$F$105,D47)</x:f>
        <x:v>0</x:v>
      </x:c>
    </x:row>
    <x:row r="48">
      <x:c r="D48" t="str">
        <x:v>Event</x:v>
      </x:c>
      <x:c r="E48" t="n">
        <x:f>COUNTIF('07_LEADS_TRIALS'!$F$6:$F$105,D48)</x:f>
        <x:v>0</x:v>
      </x:c>
    </x:row>
    <x:row r="49">
      <x:c r="D49" t="str">
        <x:v>Other</x:v>
      </x:c>
      <x:c r="E49" t="n">
        <x:f>COUNTIF('07_LEADS_TRIALS'!$F$6:$F$105,D49)</x:f>
        <x:v>0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392ca9863e5947f4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4" customHeight="1">
      <x:c r="A1" s="4" t="str">
        <x:v>MONTH-END CLOSE CHECKLIST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10" t="str">
        <x:v>Owner/manager sign-off for financial and operational completeness.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Month</x:v>
      </x:c>
      <x:c r="B4" s="18" t="str">
        <x:v>All Sales Entered?</x:v>
      </x:c>
      <x:c r="C4" s="18" t="str">
        <x:v>All Expenses Entered?</x:v>
      </x:c>
      <x:c r="D4" s="18" t="str">
        <x:v>Bank/Cash Reconciled?</x:v>
      </x:c>
      <x:c r="E4" s="18" t="str">
        <x:v>Outstanding Follow-up Done?</x:v>
      </x:c>
      <x:c r="F4" s="18" t="str">
        <x:v>Attendance Complete?</x:v>
      </x:c>
      <x:c r="G4" s="18" t="str">
        <x:v>Inventory Checked?</x:v>
      </x:c>
      <x:c r="H4" s="18" t="str">
        <x:v>Assets Checked?</x:v>
      </x:c>
      <x:c r="I4" s="18" t="str">
        <x:v>Manager Sign-off</x:v>
      </x:c>
      <x:c r="J4" s="18" t="str">
        <x:v>Owner Sign-off</x:v>
      </x:c>
    </x:row>
    <x:row r="5">
      <x:c r="A5" s="82" t="n">
        <x:v>46023</x:v>
      </x:c>
      <x:c r="B5" s="37"/>
      <x:c r="C5" s="37"/>
      <x:c r="D5" s="37"/>
      <x:c r="E5" s="37"/>
      <x:c r="F5" s="37"/>
      <x:c r="G5" s="37"/>
      <x:c r="H5" s="37"/>
      <x:c r="I5" s="37"/>
      <x:c r="J5" s="37"/>
    </x:row>
    <x:row r="6">
      <x:c r="A6" s="82" t="n">
        <x:v>46054</x:v>
      </x:c>
      <x:c r="B6" s="37"/>
      <x:c r="C6" s="37"/>
      <x:c r="D6" s="37"/>
      <x:c r="E6" s="37"/>
      <x:c r="F6" s="37"/>
      <x:c r="G6" s="37"/>
      <x:c r="H6" s="37"/>
      <x:c r="I6" s="37"/>
      <x:c r="J6" s="37"/>
    </x:row>
    <x:row r="7">
      <x:c r="A7" s="82" t="n">
        <x:v>46082</x:v>
      </x:c>
      <x:c r="B7" s="37"/>
      <x:c r="C7" s="37"/>
      <x:c r="D7" s="37"/>
      <x:c r="E7" s="37"/>
      <x:c r="F7" s="37"/>
      <x:c r="G7" s="37"/>
      <x:c r="H7" s="37"/>
      <x:c r="I7" s="37"/>
      <x:c r="J7" s="37"/>
    </x:row>
    <x:row r="8">
      <x:c r="A8" s="82" t="n">
        <x:v>46113</x:v>
      </x:c>
      <x:c r="B8" s="37"/>
      <x:c r="C8" s="37"/>
      <x:c r="D8" s="37"/>
      <x:c r="E8" s="37"/>
      <x:c r="F8" s="37"/>
      <x:c r="G8" s="37"/>
      <x:c r="H8" s="37"/>
      <x:c r="I8" s="37"/>
      <x:c r="J8" s="37"/>
    </x:row>
    <x:row r="9">
      <x:c r="A9" s="82" t="n">
        <x:v>46143</x:v>
      </x:c>
      <x:c r="B9" s="37"/>
      <x:c r="C9" s="37"/>
      <x:c r="D9" s="37"/>
      <x:c r="E9" s="37"/>
      <x:c r="F9" s="37"/>
      <x:c r="G9" s="37"/>
      <x:c r="H9" s="37"/>
      <x:c r="I9" s="37"/>
      <x:c r="J9" s="37"/>
    </x:row>
    <x:row r="10">
      <x:c r="A10" s="82" t="n">
        <x:v>46174</x:v>
      </x:c>
      <x:c r="B10" s="37"/>
      <x:c r="C10" s="37"/>
      <x:c r="D10" s="37"/>
      <x:c r="E10" s="37"/>
      <x:c r="F10" s="37"/>
      <x:c r="G10" s="37"/>
      <x:c r="H10" s="37"/>
      <x:c r="I10" s="37"/>
      <x:c r="J10" s="37"/>
    </x:row>
    <x:row r="11">
      <x:c r="A11" s="82" t="n">
        <x:v>46204</x:v>
      </x:c>
      <x:c r="B11" s="37"/>
      <x:c r="C11" s="37"/>
      <x:c r="D11" s="37"/>
      <x:c r="E11" s="37"/>
      <x:c r="F11" s="37"/>
      <x:c r="G11" s="37"/>
      <x:c r="H11" s="37"/>
      <x:c r="I11" s="37"/>
      <x:c r="J11" s="37"/>
    </x:row>
    <x:row r="12">
      <x:c r="A12" s="82" t="n">
        <x:v>46235</x:v>
      </x:c>
      <x:c r="B12" s="37"/>
      <x:c r="C12" s="37"/>
      <x:c r="D12" s="37"/>
      <x:c r="E12" s="37"/>
      <x:c r="F12" s="37"/>
      <x:c r="G12" s="37"/>
      <x:c r="H12" s="37"/>
      <x:c r="I12" s="37"/>
      <x:c r="J12" s="37"/>
    </x:row>
    <x:row r="13">
      <x:c r="A13" s="82" t="n">
        <x:v>46266</x:v>
      </x:c>
      <x:c r="B13" s="37"/>
      <x:c r="C13" s="37"/>
      <x:c r="D13" s="37"/>
      <x:c r="E13" s="37"/>
      <x:c r="F13" s="37"/>
      <x:c r="G13" s="37"/>
      <x:c r="H13" s="37"/>
      <x:c r="I13" s="37"/>
      <x:c r="J13" s="37"/>
    </x:row>
    <x:row r="14">
      <x:c r="A14" s="82" t="n">
        <x:v>46296</x:v>
      </x:c>
      <x:c r="B14" s="37"/>
      <x:c r="C14" s="37"/>
      <x:c r="D14" s="37"/>
      <x:c r="E14" s="37"/>
      <x:c r="F14" s="37"/>
      <x:c r="G14" s="37"/>
      <x:c r="H14" s="37"/>
      <x:c r="I14" s="37"/>
      <x:c r="J14" s="37"/>
    </x:row>
    <x:row r="15">
      <x:c r="A15" s="82" t="n">
        <x:v>46327</x:v>
      </x:c>
      <x:c r="B15" s="37"/>
      <x:c r="C15" s="37"/>
      <x:c r="D15" s="37"/>
      <x:c r="E15" s="37"/>
      <x:c r="F15" s="37"/>
      <x:c r="G15" s="37"/>
      <x:c r="H15" s="37"/>
      <x:c r="I15" s="37"/>
      <x:c r="J15" s="37"/>
    </x:row>
    <x:row r="16">
      <x:c r="A16" s="82" t="n">
        <x:v>46357</x:v>
      </x:c>
      <x:c r="B16" s="37"/>
      <x:c r="C16" s="37"/>
      <x:c r="D16" s="37"/>
      <x:c r="E16" s="37"/>
      <x:c r="F16" s="37"/>
      <x:c r="G16" s="37"/>
      <x:c r="H16" s="37"/>
      <x:c r="I16" s="37"/>
      <x:c r="J16" s="37"/>
    </x:row>
  </x:sheetData>
  <x:mergeCells>
    <x:mergeCell ref="A1:J1"/>
    <x:mergeCell ref="A2:J2"/>
  </x:mergeCells>
  <x:dataValidations count="7">
    <x:dataValidation type="list" sqref="B5:B16">
      <x:formula1>99_SETTINGS!$M$5:$M$6</x:formula1>
    </x:dataValidation>
    <x:dataValidation type="list" sqref="C5:C16">
      <x:formula1>99_SETTINGS!$M$5:$M$6</x:formula1>
    </x:dataValidation>
    <x:dataValidation type="list" sqref="D5:D16">
      <x:formula1>99_SETTINGS!$M$5:$M$6</x:formula1>
    </x:dataValidation>
    <x:dataValidation type="list" sqref="E5:E16">
      <x:formula1>99_SETTINGS!$M$5:$M$6</x:formula1>
    </x:dataValidation>
    <x:dataValidation type="list" sqref="F5:F16">
      <x:formula1>99_SETTINGS!$M$5:$M$6</x:formula1>
    </x:dataValidation>
    <x:dataValidation type="list" sqref="G5:G16">
      <x:formula1>99_SETTINGS!$M$5:$M$6</x:formula1>
    </x:dataValidation>
    <x:dataValidation type="list" sqref="H5:H16">
      <x:formula1>99_SETTINGS!$M$5:$M$6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4" hidden="0" customWidth="1"/>
    <x:col min="4" max="4" width="22" hidden="0" customWidth="1"/>
    <x:col min="5" max="5" width="24" hidden="0" customWidth="1"/>
    <x:col min="6" max="6" width="18" hidden="0" customWidth="1"/>
    <x:col min="7" max="7" width="24" hidden="0" customWidth="1"/>
    <x:col min="8" max="8" width="18" hidden="0" customWidth="1"/>
    <x:col min="9" max="9" width="22" hidden="0" customWidth="1"/>
    <x:col min="10" max="10" width="26" hidden="0" customWidth="1"/>
    <x:col min="11" max="11" width="20" hidden="0" customWidth="1"/>
    <x:col min="12" max="12" width="22" hidden="0" customWidth="1"/>
    <x:col min="13" max="13" width="18" hidden="0" customWidth="1"/>
    <x:col min="14" max="14" width="18" hidden="0" customWidth="1"/>
  </x:cols>
  <x:sheetData>
    <x:row r="1" ht="34" customHeight="1">
      <x:c r="A1" s="4" t="str">
        <x:v>ADMIN SETTINGS &amp; MASTER LISTS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10" t="str">
        <x:v>Dropdowns, targets and workbook controls. Change yellow cells only.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Control</x:v>
      </x:c>
      <x:c r="B4" s="18" t="str">
        <x:v>Value</x:v>
      </x:c>
      <x:c r="D4" s="18" t="str">
        <x:v>Branches</x:v>
      </x:c>
      <x:c r="E4" s="18" t="str">
        <x:v>Membership Plans</x:v>
      </x:c>
      <x:c r="F4" s="18" t="str">
        <x:v>Member Status</x:v>
      </x:c>
      <x:c r="G4" s="18" t="str">
        <x:v>Class Types</x:v>
      </x:c>
      <x:c r="H4" s="18" t="str">
        <x:v>Class Levels</x:v>
      </x:c>
      <x:c r="I4" s="18" t="str">
        <x:v>Revenue Categories</x:v>
      </x:c>
      <x:c r="J4" s="18" t="str">
        <x:v>Expense Categories</x:v>
      </x:c>
      <x:c r="K4" s="18" t="str">
        <x:v>Payment Methods</x:v>
      </x:c>
      <x:c r="L4" s="18" t="str">
        <x:v>Lead Sources</x:v>
      </x:c>
      <x:c r="M4" s="18" t="str">
        <x:v>Yes / No</x:v>
      </x:c>
      <x:c r="N4" s="18" t="str">
        <x:v>Consent</x:v>
      </x:c>
    </x:row>
    <x:row r="5">
      <x:c r="A5" s="28" t="str">
        <x:v>Business Name</x:v>
      </x:c>
      <x:c r="B5" s="37" t="str">
        <x:v>Premium Pilates Studio</x:v>
      </x:c>
      <x:c r="D5" s="37" t="str">
        <x:v>Main Studio</x:v>
      </x:c>
      <x:c r="E5" s="37" t="str">
        <x:v>Intro 3 Sessions</x:v>
      </x:c>
      <x:c r="F5" s="37" t="str">
        <x:v>Lead</x:v>
      </x:c>
      <x:c r="G5" s="37" t="str">
        <x:v>Reformer Beginner</x:v>
      </x:c>
      <x:c r="H5" s="37" t="str">
        <x:v>Beginner</x:v>
      </x:c>
      <x:c r="I5" s="37" t="str">
        <x:v>Membership</x:v>
      </x:c>
      <x:c r="J5" s="37" t="str">
        <x:v>Rent</x:v>
      </x:c>
      <x:c r="K5" s="37" t="str">
        <x:v>Cash</x:v>
      </x:c>
      <x:c r="L5" s="37" t="str">
        <x:v>Instagram</x:v>
      </x:c>
      <x:c r="M5" s="37" t="str">
        <x:v>Yes</x:v>
      </x:c>
      <x:c r="N5" s="37" t="str">
        <x:v>Pending</x:v>
      </x:c>
    </x:row>
    <x:row r="6">
      <x:c r="A6" s="28" t="str">
        <x:v>Reporting As Of</x:v>
      </x:c>
      <x:c r="B6" s="42" t="n">
        <x:v>46216</x:v>
      </x:c>
      <x:c r="D6" s="37" t="str">
        <x:v>Branch 2</x:v>
      </x:c>
      <x:c r="E6" s="37" t="str">
        <x:v>Monthly 8</x:v>
      </x:c>
      <x:c r="F6" s="37" t="str">
        <x:v>Trial</x:v>
      </x:c>
      <x:c r="G6" s="37" t="str">
        <x:v>Reformer Intermediate</x:v>
      </x:c>
      <x:c r="H6" s="37" t="str">
        <x:v>All Levels</x:v>
      </x:c>
      <x:c r="I6" s="37" t="str">
        <x:v>Trial Class</x:v>
      </x:c>
      <x:c r="J6" s="37" t="str">
        <x:v>Payroll</x:v>
      </x:c>
      <x:c r="K6" s="37" t="str">
        <x:v>Bank Transfer</x:v>
      </x:c>
      <x:c r="L6" s="37" t="str">
        <x:v>Facebook</x:v>
      </x:c>
      <x:c r="M6" s="37" t="str">
        <x:v>No</x:v>
      </x:c>
      <x:c r="N6" s="37" t="str">
        <x:v>Signed</x:v>
      </x:c>
    </x:row>
    <x:row r="7">
      <x:c r="A7" s="28" t="str">
        <x:v>Include DEMO Data?</x:v>
      </x:c>
      <x:c r="B7" s="37" t="str">
        <x:v>Yes</x:v>
      </x:c>
      <x:c r="D7" s="37" t="str">
        <x:v>Branch 3</x:v>
      </x:c>
      <x:c r="E7" s="37" t="str">
        <x:v>Monthly 12</x:v>
      </x:c>
      <x:c r="F7" s="37" t="str">
        <x:v>Active</x:v>
      </x:c>
      <x:c r="G7" s="37" t="str">
        <x:v>Reformer Advanced</x:v>
      </x:c>
      <x:c r="H7" s="37" t="str">
        <x:v>Intermediate</x:v>
      </x:c>
      <x:c r="I7" s="37" t="str">
        <x:v>Private Session</x:v>
      </x:c>
      <x:c r="J7" s="37" t="str">
        <x:v>Utilities</x:v>
      </x:c>
      <x:c r="K7" s="37" t="str">
        <x:v>Card</x:v>
      </x:c>
      <x:c r="L7" s="37" t="str">
        <x:v>Google Search</x:v>
      </x:c>
      <x:c r="N7" s="37" t="str">
        <x:v>Declined</x:v>
      </x:c>
    </x:row>
    <x:row r="8">
      <x:c r="A8" s="28" t="str">
        <x:v>Currency</x:v>
      </x:c>
      <x:c r="B8" s="37" t="str">
        <x:v>NPR</x:v>
      </x:c>
      <x:c r="D8" s="37" t="str">
        <x:v>Online</x:v>
      </x:c>
      <x:c r="E8" s="37" t="str">
        <x:v>Unlimited Monthly</x:v>
      </x:c>
      <x:c r="F8" s="37" t="str">
        <x:v>Frozen</x:v>
      </x:c>
      <x:c r="G8" s="37" t="str">
        <x:v>Mat Pilates</x:v>
      </x:c>
      <x:c r="H8" s="37" t="str">
        <x:v>Advanced</x:v>
      </x:c>
      <x:c r="I8" s="37" t="str">
        <x:v>Drop-in Class</x:v>
      </x:c>
      <x:c r="J8" s="37" t="str">
        <x:v>Marketing</x:v>
      </x:c>
      <x:c r="K8" s="37" t="str">
        <x:v>Mobile Wallet</x:v>
      </x:c>
      <x:c r="L8" s="37" t="str">
        <x:v>Google Maps</x:v>
      </x:c>
      <x:c r="N8" s="37" t="str">
        <x:v>Expired</x:v>
      </x:c>
    </x:row>
    <x:row r="9">
      <x:c r="A9" s="28" t="str">
        <x:v>Default Class Capacity</x:v>
      </x:c>
      <x:c r="B9" s="37" t="n">
        <x:v>8</x:v>
      </x:c>
      <x:c r="E9" s="37" t="str">
        <x:v>Private 5</x:v>
      </x:c>
      <x:c r="F9" s="37" t="str">
        <x:v>Expired</x:v>
      </x:c>
      <x:c r="G9" s="37" t="str">
        <x:v>Barre</x:v>
      </x:c>
      <x:c r="H9" s="37" t="str">
        <x:v>Private</x:v>
      </x:c>
      <x:c r="I9" s="37" t="str">
        <x:v>Retail / Merchandise</x:v>
      </x:c>
      <x:c r="J9" s="37" t="str">
        <x:v>Cleaning</x:v>
      </x:c>
      <x:c r="K9" s="37" t="str">
        <x:v>Cheque</x:v>
      </x:c>
      <x:c r="L9" s="37" t="str">
        <x:v>Referral</x:v>
      </x:c>
    </x:row>
    <x:row r="10">
      <x:c r="A10" s="28" t="str">
        <x:v>Progress Review Frequency (days)</x:v>
      </x:c>
      <x:c r="B10" s="37" t="n">
        <x:v>30</x:v>
      </x:c>
      <x:c r="E10" s="37" t="str">
        <x:v>Quarterly 24</x:v>
      </x:c>
      <x:c r="F10" s="37" t="str">
        <x:v>Cancelled</x:v>
      </x:c>
      <x:c r="G10" s="37" t="str">
        <x:v>Mobility / Recovery</x:v>
      </x:c>
      <x:c r="I10" s="37" t="str">
        <x:v>Workshop</x:v>
      </x:c>
      <x:c r="J10" s="37" t="str">
        <x:v>Repairs &amp; Maintenance</x:v>
      </x:c>
      <x:c r="K10" s="37" t="str">
        <x:v>Credit / Due</x:v>
      </x:c>
      <x:c r="L10" s="37" t="str">
        <x:v>Walk-in</x:v>
      </x:c>
    </x:row>
    <x:row r="11">
      <x:c r="A11" s="28" t="str">
        <x:v>Renewal Reminder Window (days)</x:v>
      </x:c>
      <x:c r="B11" s="37" t="n">
        <x:v>30</x:v>
      </x:c>
      <x:c r="E11" s="37" t="str">
        <x:v>Annual Unlimited</x:v>
      </x:c>
      <x:c r="G11" s="37" t="str">
        <x:v>Private Session</x:v>
      </x:c>
      <x:c r="I11" s="37" t="str">
        <x:v>Other</x:v>
      </x:c>
      <x:c r="J11" s="37" t="str">
        <x:v>Equipment</x:v>
      </x:c>
      <x:c r="K11" s="37" t="str">
        <x:v>Other</x:v>
      </x:c>
      <x:c r="L11" s="37" t="str">
        <x:v>Website</x:v>
      </x:c>
    </x:row>
    <x:row r="12">
      <x:c r="A12" s="28" t="str">
        <x:v>Maintenance Warning Window (days)</x:v>
      </x:c>
      <x:c r="B12" s="37" t="n">
        <x:v>14</x:v>
      </x:c>
      <x:c r="J12" s="37" t="str">
        <x:v>Supplies</x:v>
      </x:c>
      <x:c r="L12" s="37" t="str">
        <x:v>Corporate Partnership</x:v>
      </x:c>
    </x:row>
    <x:row r="13">
      <x:c r="A13" s="28" t="str">
        <x:v>Monthly Revenue Target</x:v>
      </x:c>
      <x:c r="B13" s="44" t="n">
        <x:v>900000</x:v>
      </x:c>
      <x:c r="J13" s="37" t="str">
        <x:v>Software</x:v>
      </x:c>
      <x:c r="L13" s="37" t="str">
        <x:v>Event</x:v>
      </x:c>
    </x:row>
    <x:row r="14">
      <x:c r="A14" s="28" t="str">
        <x:v>Monthly Profit Target</x:v>
      </x:c>
      <x:c r="B14" s="44" t="n">
        <x:v>250000</x:v>
      </x:c>
      <x:c r="J14" s="37" t="str">
        <x:v>Training</x:v>
      </x:c>
      <x:c r="L14" s="37" t="str">
        <x:v>Other</x:v>
      </x:c>
    </x:row>
    <x:row r="15">
      <x:c r="A15" s="28" t="str">
        <x:v>Owner / Manager Name</x:v>
      </x:c>
      <x:c r="B15" s="37" t="str"/>
      <x:c r="J15" s="37" t="str">
        <x:v>Professional Fees</x:v>
      </x:c>
    </x:row>
    <x:row r="16">
      <x:c r="J16" s="37" t="str">
        <x:v>Insurance</x:v>
      </x:c>
    </x:row>
    <x:row r="17">
      <x:c r="J17" s="37" t="str">
        <x:v>Taxes</x:v>
      </x:c>
    </x:row>
    <x:row r="18">
      <x:c r="D18" s="18" t="str">
        <x:v>Record Type</x:v>
      </x:c>
      <x:c r="E18" s="18" t="str">
        <x:v>Booking</x:v>
      </x:c>
      <x:c r="F18" s="18" t="str">
        <x:v>Attendance</x:v>
      </x:c>
      <x:c r="G18" s="18" t="str">
        <x:v>Lead Status</x:v>
      </x:c>
      <x:c r="H18" s="18" t="str">
        <x:v>Class Status</x:v>
      </x:c>
      <x:c r="I18" s="18" t="str">
        <x:v>Employment</x:v>
      </x:c>
      <x:c r="J18" s="18" t="str">
        <x:v>Roles</x:v>
      </x:c>
      <x:c r="K18" s="18" t="str">
        <x:v>Asset Condition</x:v>
      </x:c>
      <x:c r="L18" s="18" t="str">
        <x:v>Expense Type</x:v>
      </x:c>
      <x:c r="M18" s="18" t="str">
        <x:v>Payment Status</x:v>
      </x:c>
      <x:c r="N18" s="18" t="str">
        <x:v>Units</x:v>
      </x:c>
    </x:row>
    <x:row r="19">
      <x:c r="D19" s="37" t="str">
        <x:v>REAL</x:v>
      </x:c>
      <x:c r="E19" s="37" t="str">
        <x:v>Booked</x:v>
      </x:c>
      <x:c r="F19" s="37" t="str">
        <x:v>Attended</x:v>
      </x:c>
      <x:c r="G19" s="37" t="str">
        <x:v>New</x:v>
      </x:c>
      <x:c r="H19" s="37" t="str">
        <x:v>Scheduled</x:v>
      </x:c>
      <x:c r="I19" s="37" t="str">
        <x:v>Active</x:v>
      </x:c>
      <x:c r="J19" s="37" t="str">
        <x:v>Owner / CEO</x:v>
      </x:c>
      <x:c r="K19" s="37" t="str">
        <x:v>Excellent</x:v>
      </x:c>
      <x:c r="L19" s="37" t="str">
        <x:v>Fixed</x:v>
      </x:c>
      <x:c r="M19" s="37" t="str">
        <x:v>Paid</x:v>
      </x:c>
      <x:c r="N19" s="37" t="str">
        <x:v>piece</x:v>
      </x:c>
    </x:row>
    <x:row r="20">
      <x:c r="D20" s="37" t="str">
        <x:v>DEMO</x:v>
      </x:c>
      <x:c r="E20" s="37" t="str">
        <x:v>Waitlisted</x:v>
      </x:c>
      <x:c r="F20" s="37" t="str">
        <x:v>Late</x:v>
      </x:c>
      <x:c r="G20" s="37" t="str">
        <x:v>Contacted</x:v>
      </x:c>
      <x:c r="H20" s="37" t="str">
        <x:v>Completed</x:v>
      </x:c>
      <x:c r="I20" s="37" t="str">
        <x:v>On Leave</x:v>
      </x:c>
      <x:c r="J20" s="37" t="str">
        <x:v>Studio Manager</x:v>
      </x:c>
      <x:c r="K20" s="37" t="str">
        <x:v>Good</x:v>
      </x:c>
      <x:c r="L20" s="37" t="str">
        <x:v>Variable</x:v>
      </x:c>
      <x:c r="M20" s="37" t="str">
        <x:v>Partial</x:v>
      </x:c>
      <x:c r="N20" s="37" t="str">
        <x:v>box</x:v>
      </x:c>
    </x:row>
    <x:row r="21">
      <x:c r="E21" s="37" t="str">
        <x:v>Cancelled</x:v>
      </x:c>
      <x:c r="F21" s="37" t="str">
        <x:v>No-show</x:v>
      </x:c>
      <x:c r="G21" s="37" t="str">
        <x:v>Trial Booked</x:v>
      </x:c>
      <x:c r="H21" s="37" t="str">
        <x:v>Cancelled</x:v>
      </x:c>
      <x:c r="I21" s="37" t="str">
        <x:v>Inactive</x:v>
      </x:c>
      <x:c r="J21" s="37" t="str">
        <x:v>Pilates Instructor</x:v>
      </x:c>
      <x:c r="K21" s="37" t="str">
        <x:v>Fair</x:v>
      </x:c>
      <x:c r="M21" s="37" t="str">
        <x:v>Unpaid</x:v>
      </x:c>
      <x:c r="N21" s="37" t="str">
        <x:v>bottle</x:v>
      </x:c>
    </x:row>
    <x:row r="22">
      <x:c r="E22" s="37" t="str">
        <x:v>No-show</x:v>
      </x:c>
      <x:c r="F22" s="37" t="str">
        <x:v>Cancelled</x:v>
      </x:c>
      <x:c r="G22" s="37" t="str">
        <x:v>Trial Completed</x:v>
      </x:c>
      <x:c r="I22" s="37" t="str">
        <x:v>Terminated</x:v>
      </x:c>
      <x:c r="J22" s="37" t="str">
        <x:v>Reception / Customer Success</x:v>
      </x:c>
      <x:c r="K22" s="37" t="str">
        <x:v>Needs Repair</x:v>
      </x:c>
      <x:c r="M22" s="37" t="str">
        <x:v>Overdue</x:v>
      </x:c>
      <x:c r="N22" s="37" t="str">
        <x:v>pack</x:v>
      </x:c>
    </x:row>
    <x:row r="23">
      <x:c r="G23" s="37" t="str">
        <x:v>Converted</x:v>
      </x:c>
      <x:c r="J23" s="37" t="str">
        <x:v>Cleaner</x:v>
      </x:c>
      <x:c r="K23" s="37" t="str">
        <x:v>Out of Service</x:v>
      </x:c>
      <x:c r="N23" s="37" t="str">
        <x:v>kg</x:v>
      </x:c>
    </x:row>
    <x:row r="24">
      <x:c r="G24" s="37" t="str">
        <x:v>Follow-up</x:v>
      </x:c>
      <x:c r="J24" s="37" t="str">
        <x:v>Marketing</x:v>
      </x:c>
      <x:c r="N24" s="37" t="str">
        <x:v>litre</x:v>
      </x:c>
    </x:row>
    <x:row r="25">
      <x:c r="G25" s="37" t="str">
        <x:v>Lost</x:v>
      </x:c>
      <x:c r="J25" s="37" t="str">
        <x:v>Finance / Admin</x:v>
      </x:c>
      <x:c r="N25" s="37" t="str">
        <x:v>set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14" hidden="0" customWidth="1"/>
    <x:col min="9" max="9" width="15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  <x:col min="14" max="14" width="14" hidden="0" customWidth="1"/>
  </x:cols>
  <x:sheetData>
    <x:row r="1" ht="34" customHeight="1">
      <x:c r="A1" s="4" t="str">
        <x:v>BACKEND — MONTHLY KPI ENGINE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10" t="str">
        <x:v>Formula-driven source for owner and shareholder dashboards.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Month</x:v>
      </x:c>
      <x:c r="B4" s="18" t="str">
        <x:v>Revenue Invoiced</x:v>
      </x:c>
      <x:c r="C4" s="18" t="str">
        <x:v>Cash Collected</x:v>
      </x:c>
      <x:c r="D4" s="18" t="str">
        <x:v>Expenses Incurred</x:v>
      </x:c>
      <x:c r="E4" s="18" t="str">
        <x:v>Cash Paid</x:v>
      </x:c>
      <x:c r="F4" s="18" t="str">
        <x:v>Operating Profit</x:v>
      </x:c>
      <x:c r="G4" s="18" t="str">
        <x:v>Cash Surplus</x:v>
      </x:c>
      <x:c r="H4" s="18" t="str">
        <x:v>Profit Margin</x:v>
      </x:c>
      <x:c r="I4" s="18" t="str">
        <x:v>Active Members</x:v>
      </x:c>
      <x:c r="J4" s="18" t="str">
        <x:v>New Members</x:v>
      </x:c>
      <x:c r="K4" s="18" t="str">
        <x:v>Classes</x:v>
      </x:c>
      <x:c r="L4" s="18" t="str">
        <x:v>Attendance</x:v>
      </x:c>
      <x:c r="M4" s="18" t="str">
        <x:v>Leads</x:v>
      </x:c>
      <x:c r="N4" s="18" t="str">
        <x:v>Conversions</x:v>
      </x:c>
    </x:row>
    <x:row r="5">
      <x:c r="A5" s="82" t="n">
        <x:v>46023</x:v>
      </x:c>
      <x:c r="B5" s="84" t="n">
        <x:f>SUMIFS('05_SALES_PAYMENTS'!$L$6:$L$105,'05_SALES_PAYMENTS'!$C$6:$C$105,"&gt;="&amp;$A5,'05_SALES_PAYMENTS'!$C$6:$C$105,"&lt;"&amp;EDATE($A5,1))</x:f>
        <x:v>88000</x:v>
      </x:c>
      <x:c r="C5" s="84" t="n">
        <x:f>SUMIFS('05_SALES_PAYMENTS'!$M$6:$M$105,'05_SALES_PAYMENTS'!$C$6:$C$105,"&gt;="&amp;$A5,'05_SALES_PAYMENTS'!$C$6:$C$105,"&lt;"&amp;EDATE($A5,1))</x:f>
        <x:v>85000</x:v>
      </x:c>
      <x:c r="D5" s="84" t="n">
        <x:f>SUMIFS('06_EXPENSES'!$J$6:$J$105,'06_EXPENSES'!$C$6:$C$105,"&gt;="&amp;$A5,'06_EXPENSES'!$C$6:$C$105,"&lt;"&amp;EDATE($A5,1))</x:f>
        <x:v>495000</x:v>
      </x:c>
      <x:c r="E5" s="84" t="n">
        <x:f>SUMIFS('06_EXPENSES'!$K$6:$K$105,'06_EXPENSES'!$C$6:$C$105,"&gt;="&amp;$A5,'06_EXPENSES'!$C$6:$C$105,"&lt;"&amp;EDATE($A5,1))</x:f>
        <x:v>495000</x:v>
      </x:c>
      <x:c r="F5" s="84" t="n">
        <x:f>B5-D5</x:f>
        <x:v>-407000</x:v>
      </x:c>
      <x:c r="G5" s="84" t="n">
        <x:f>C5-E5</x:f>
        <x:v>-410000</x:v>
      </x:c>
      <x:c r="H5" s="86" t="n">
        <x:f>IFERROR(F5/B5,0)</x:f>
        <x:v>-4.625</x:v>
      </x:c>
      <x:c r="I5" s="88" t="n">
        <x:f>COUNTIFS('02_MEMBERS'!$I$6:$I$105,"Active",'02_MEMBERS'!$J$6:$J$105,"&lt;="&amp;EOMONTH($A5,0),'02_MEMBERS'!$K$6:$K$105,"&gt;="&amp;$A5)</x:f>
        <x:v>2</x:v>
      </x:c>
      <x:c r="J5" s="88" t="n">
        <x:f>COUNTIFS('02_MEMBERS'!$F$6:$F$105,"&gt;="&amp;$A5,'02_MEMBERS'!$F$6:$F$105,"&lt;"&amp;EDATE($A5,1))</x:f>
        <x:v>2</x:v>
      </x:c>
      <x:c r="K5" s="88" t="n">
        <x:f>COUNTIFS('03_CLASS_SCHEDULE'!$C$6:$C$105,"&gt;="&amp;$A5,'03_CLASS_SCHEDULE'!$C$6:$C$105,"&lt;"&amp;EDATE($A5,1),'03_CLASS_SCHEDULE'!$M$6:$M$105,"Completed")</x:f>
        <x:v>4</x:v>
      </x:c>
      <x:c r="L5" s="88" t="n">
        <x:f>SUMIFS('04_ATTENDANCE'!$M$6:$M$105,'04_ATTENDANCE'!$D$6:$D$105,"&gt;="&amp;$A5,'04_ATTENDANCE'!$D$6:$D$105,"&lt;"&amp;EDATE($A5,1))</x:f>
        <x:v>17</x:v>
      </x:c>
      <x:c r="M5" s="88" t="n">
        <x:f>COUNTIFS('07_LEADS_TRIALS'!$C$6:$C$105,"&gt;="&amp;$A5,'07_LEADS_TRIALS'!$C$6:$C$105,"&lt;"&amp;EDATE($A5,1))</x:f>
        <x:v>6</x:v>
      </x:c>
      <x:c r="N5" s="88" t="n">
        <x:f>COUNTIFS('07_LEADS_TRIALS'!$C$6:$C$105,"&gt;="&amp;$A5,'07_LEADS_TRIALS'!$C$6:$C$105,"&lt;"&amp;EDATE($A5,1),'07_LEADS_TRIALS'!$J$6:$J$105,"Converted")</x:f>
        <x:v>2</x:v>
      </x:c>
    </x:row>
    <x:row r="6">
      <x:c r="A6" s="82" t="n">
        <x:v>46054</x:v>
      </x:c>
      <x:c r="B6" s="84" t="n">
        <x:f>SUMIFS('05_SALES_PAYMENTS'!$L$6:$L$105,'05_SALES_PAYMENTS'!$C$6:$C$105,"&gt;="&amp;$A6,'05_SALES_PAYMENTS'!$C$6:$C$105,"&lt;"&amp;EDATE($A6,1))</x:f>
        <x:v>100000</x:v>
      </x:c>
      <x:c r="C6" s="84" t="n">
        <x:f>SUMIFS('05_SALES_PAYMENTS'!$M$6:$M$105,'05_SALES_PAYMENTS'!$C$6:$C$105,"&gt;="&amp;$A6,'05_SALES_PAYMENTS'!$C$6:$C$105,"&lt;"&amp;EDATE($A6,1))</x:f>
        <x:v>97000</x:v>
      </x:c>
      <x:c r="D6" s="84" t="n">
        <x:f>SUMIFS('06_EXPENSES'!$J$6:$J$105,'06_EXPENSES'!$C$6:$C$105,"&gt;="&amp;$A6,'06_EXPENSES'!$C$6:$C$105,"&lt;"&amp;EDATE($A6,1))</x:f>
        <x:v>505000</x:v>
      </x:c>
      <x:c r="E6" s="84" t="n">
        <x:f>SUMIFS('06_EXPENSES'!$K$6:$K$105,'06_EXPENSES'!$C$6:$C$105,"&gt;="&amp;$A6,'06_EXPENSES'!$C$6:$C$105,"&lt;"&amp;EDATE($A6,1))</x:f>
        <x:v>505000</x:v>
      </x:c>
      <x:c r="F6" s="84" t="n">
        <x:f>B6-D6</x:f>
        <x:v>-405000</x:v>
      </x:c>
      <x:c r="G6" s="84" t="n">
        <x:f>C6-E6</x:f>
        <x:v>-408000</x:v>
      </x:c>
      <x:c r="H6" s="86" t="n">
        <x:f>IFERROR(F6/B6,0)</x:f>
        <x:v>-4.05</x:v>
      </x:c>
      <x:c r="I6" s="88" t="n">
        <x:f>COUNTIFS('02_MEMBERS'!$I$6:$I$105,"Active",'02_MEMBERS'!$J$6:$J$105,"&lt;="&amp;EOMONTH($A6,0),'02_MEMBERS'!$K$6:$K$105,"&gt;="&amp;$A6)</x:f>
        <x:v>5</x:v>
      </x:c>
      <x:c r="J6" s="88" t="n">
        <x:f>COUNTIFS('02_MEMBERS'!$F$6:$F$105,"&gt;="&amp;$A6,'02_MEMBERS'!$F$6:$F$105,"&lt;"&amp;EDATE($A6,1))</x:f>
        <x:v>3</x:v>
      </x:c>
      <x:c r="K6" s="88" t="n">
        <x:f>COUNTIFS('03_CLASS_SCHEDULE'!$C$6:$C$105,"&gt;="&amp;$A6,'03_CLASS_SCHEDULE'!$C$6:$C$105,"&lt;"&amp;EDATE($A6,1),'03_CLASS_SCHEDULE'!$M$6:$M$105,"Completed")</x:f>
        <x:v>4</x:v>
      </x:c>
      <x:c r="L6" s="88" t="n">
        <x:f>SUMIFS('04_ATTENDANCE'!$M$6:$M$105,'04_ATTENDANCE'!$D$6:$D$105,"&gt;="&amp;$A6,'04_ATTENDANCE'!$D$6:$D$105,"&lt;"&amp;EDATE($A6,1))</x:f>
        <x:v>17</x:v>
      </x:c>
      <x:c r="M6" s="88" t="n">
        <x:f>COUNTIFS('07_LEADS_TRIALS'!$C$6:$C$105,"&gt;="&amp;$A6,'07_LEADS_TRIALS'!$C$6:$C$105,"&lt;"&amp;EDATE($A6,1))</x:f>
        <x:v>6</x:v>
      </x:c>
      <x:c r="N6" s="88" t="n">
        <x:f>COUNTIFS('07_LEADS_TRIALS'!$C$6:$C$105,"&gt;="&amp;$A6,'07_LEADS_TRIALS'!$C$6:$C$105,"&lt;"&amp;EDATE($A6,1),'07_LEADS_TRIALS'!$J$6:$J$105,"Converted")</x:f>
        <x:v>2</x:v>
      </x:c>
    </x:row>
    <x:row r="7">
      <x:c r="A7" s="82" t="n">
        <x:v>46082</x:v>
      </x:c>
      <x:c r="B7" s="84" t="n">
        <x:f>SUMIFS('05_SALES_PAYMENTS'!$L$6:$L$105,'05_SALES_PAYMENTS'!$C$6:$C$105,"&gt;="&amp;$A7,'05_SALES_PAYMENTS'!$C$6:$C$105,"&lt;"&amp;EDATE($A7,1))</x:f>
        <x:v>104000</x:v>
      </x:c>
      <x:c r="C7" s="84" t="n">
        <x:f>SUMIFS('05_SALES_PAYMENTS'!$M$6:$M$105,'05_SALES_PAYMENTS'!$C$6:$C$105,"&gt;="&amp;$A7,'05_SALES_PAYMENTS'!$C$6:$C$105,"&lt;"&amp;EDATE($A7,1))</x:f>
        <x:v>104000</x:v>
      </x:c>
      <x:c r="D7" s="84" t="n">
        <x:f>SUMIFS('06_EXPENSES'!$J$6:$J$105,'06_EXPENSES'!$C$6:$C$105,"&gt;="&amp;$A7,'06_EXPENSES'!$C$6:$C$105,"&lt;"&amp;EDATE($A7,1))</x:f>
        <x:v>515000</x:v>
      </x:c>
      <x:c r="E7" s="84" t="n">
        <x:f>SUMIFS('06_EXPENSES'!$K$6:$K$105,'06_EXPENSES'!$C$6:$C$105,"&gt;="&amp;$A7,'06_EXPENSES'!$C$6:$C$105,"&lt;"&amp;EDATE($A7,1))</x:f>
        <x:v>515000</x:v>
      </x:c>
      <x:c r="F7" s="84" t="n">
        <x:f>B7-D7</x:f>
        <x:v>-411000</x:v>
      </x:c>
      <x:c r="G7" s="84" t="n">
        <x:f>C7-E7</x:f>
        <x:v>-411000</x:v>
      </x:c>
      <x:c r="H7" s="86" t="n">
        <x:f>IFERROR(F7/B7,0)</x:f>
        <x:v>-3.951923076923077</x:v>
      </x:c>
      <x:c r="I7" s="88" t="n">
        <x:f>COUNTIFS('02_MEMBERS'!$I$6:$I$105,"Active",'02_MEMBERS'!$J$6:$J$105,"&lt;="&amp;EOMONTH($A7,0),'02_MEMBERS'!$K$6:$K$105,"&gt;="&amp;$A7)</x:f>
        <x:v>5</x:v>
      </x:c>
      <x:c r="J7" s="88" t="n">
        <x:f>COUNTIFS('02_MEMBERS'!$F$6:$F$105,"&gt;="&amp;$A7,'02_MEMBERS'!$F$6:$F$105,"&lt;"&amp;EDATE($A7,1))</x:f>
        <x:v>2</x:v>
      </x:c>
      <x:c r="K7" s="88" t="n">
        <x:f>COUNTIFS('03_CLASS_SCHEDULE'!$C$6:$C$105,"&gt;="&amp;$A7,'03_CLASS_SCHEDULE'!$C$6:$C$105,"&lt;"&amp;EDATE($A7,1),'03_CLASS_SCHEDULE'!$M$6:$M$105,"Completed")</x:f>
        <x:v>5</x:v>
      </x:c>
      <x:c r="L7" s="88" t="n">
        <x:f>SUMIFS('04_ATTENDANCE'!$M$6:$M$105,'04_ATTENDANCE'!$D$6:$D$105,"&gt;="&amp;$A7,'04_ATTENDANCE'!$D$6:$D$105,"&lt;"&amp;EDATE($A7,1))</x:f>
        <x:v>18</x:v>
      </x:c>
      <x:c r="M7" s="88" t="n">
        <x:f>COUNTIFS('07_LEADS_TRIALS'!$C$6:$C$105,"&gt;="&amp;$A7,'07_LEADS_TRIALS'!$C$6:$C$105,"&lt;"&amp;EDATE($A7,1))</x:f>
        <x:v>6</x:v>
      </x:c>
      <x:c r="N7" s="88" t="n">
        <x:f>COUNTIFS('07_LEADS_TRIALS'!$C$6:$C$105,"&gt;="&amp;$A7,'07_LEADS_TRIALS'!$C$6:$C$105,"&lt;"&amp;EDATE($A7,1),'07_LEADS_TRIALS'!$J$6:$J$105,"Converted")</x:f>
        <x:v>2</x:v>
      </x:c>
    </x:row>
    <x:row r="8">
      <x:c r="A8" s="82" t="n">
        <x:v>46113</x:v>
      </x:c>
      <x:c r="B8" s="84" t="n">
        <x:f>SUMIFS('05_SALES_PAYMENTS'!$L$6:$L$105,'05_SALES_PAYMENTS'!$C$6:$C$105,"&gt;="&amp;$A8,'05_SALES_PAYMENTS'!$C$6:$C$105,"&lt;"&amp;EDATE($A8,1))</x:f>
        <x:v>110000</x:v>
      </x:c>
      <x:c r="C8" s="84" t="n">
        <x:f>SUMIFS('05_SALES_PAYMENTS'!$M$6:$M$105,'05_SALES_PAYMENTS'!$C$6:$C$105,"&gt;="&amp;$A8,'05_SALES_PAYMENTS'!$C$6:$C$105,"&lt;"&amp;EDATE($A8,1))</x:f>
        <x:v>107000</x:v>
      </x:c>
      <x:c r="D8" s="84" t="n">
        <x:f>SUMIFS('06_EXPENSES'!$J$6:$J$105,'06_EXPENSES'!$C$6:$C$105,"&gt;="&amp;$A8,'06_EXPENSES'!$C$6:$C$105,"&lt;"&amp;EDATE($A8,1))</x:f>
        <x:v>495000</x:v>
      </x:c>
      <x:c r="E8" s="84" t="n">
        <x:f>SUMIFS('06_EXPENSES'!$K$6:$K$105,'06_EXPENSES'!$C$6:$C$105,"&gt;="&amp;$A8,'06_EXPENSES'!$C$6:$C$105,"&lt;"&amp;EDATE($A8,1))</x:f>
        <x:v>495000</x:v>
      </x:c>
      <x:c r="F8" s="84" t="n">
        <x:f>B8-D8</x:f>
        <x:v>-385000</x:v>
      </x:c>
      <x:c r="G8" s="84" t="n">
        <x:f>C8-E8</x:f>
        <x:v>-388000</x:v>
      </x:c>
      <x:c r="H8" s="86" t="n">
        <x:f>IFERROR(F8/B8,0)</x:f>
        <x:v>-3.5</x:v>
      </x:c>
      <x:c r="I8" s="88" t="n">
        <x:f>COUNTIFS('02_MEMBERS'!$I$6:$I$105,"Active",'02_MEMBERS'!$J$6:$J$105,"&lt;="&amp;EOMONTH($A8,0),'02_MEMBERS'!$K$6:$K$105,"&gt;="&amp;$A8)</x:f>
        <x:v>5</x:v>
      </x:c>
      <x:c r="J8" s="88" t="n">
        <x:f>COUNTIFS('02_MEMBERS'!$F$6:$F$105,"&gt;="&amp;$A8,'02_MEMBERS'!$F$6:$F$105,"&lt;"&amp;EDATE($A8,1))</x:f>
        <x:v>3</x:v>
      </x:c>
      <x:c r="K8" s="88" t="n">
        <x:f>COUNTIFS('03_CLASS_SCHEDULE'!$C$6:$C$105,"&gt;="&amp;$A8,'03_CLASS_SCHEDULE'!$C$6:$C$105,"&lt;"&amp;EDATE($A8,1),'03_CLASS_SCHEDULE'!$M$6:$M$105,"Completed")</x:f>
        <x:v>4</x:v>
      </x:c>
      <x:c r="L8" s="88" t="n">
        <x:f>SUMIFS('04_ATTENDANCE'!$M$6:$M$105,'04_ATTENDANCE'!$D$6:$D$105,"&gt;="&amp;$A8,'04_ATTENDANCE'!$D$6:$D$105,"&lt;"&amp;EDATE($A8,1))</x:f>
        <x:v>18</x:v>
      </x:c>
      <x:c r="M8" s="88" t="n">
        <x:f>COUNTIFS('07_LEADS_TRIALS'!$C$6:$C$105,"&gt;="&amp;$A8,'07_LEADS_TRIALS'!$C$6:$C$105,"&lt;"&amp;EDATE($A8,1))</x:f>
        <x:v>6</x:v>
      </x:c>
      <x:c r="N8" s="88" t="n">
        <x:f>COUNTIFS('07_LEADS_TRIALS'!$C$6:$C$105,"&gt;="&amp;$A8,'07_LEADS_TRIALS'!$C$6:$C$105,"&lt;"&amp;EDATE($A8,1),'07_LEADS_TRIALS'!$J$6:$J$105,"Converted")</x:f>
        <x:v>2</x:v>
      </x:c>
    </x:row>
    <x:row r="9">
      <x:c r="A9" s="82" t="n">
        <x:v>46143</x:v>
      </x:c>
      <x:c r="B9" s="84" t="n">
        <x:f>SUMIFS('05_SALES_PAYMENTS'!$L$6:$L$105,'05_SALES_PAYMENTS'!$C$6:$C$105,"&gt;="&amp;$A9,'05_SALES_PAYMENTS'!$C$6:$C$105,"&lt;"&amp;EDATE($A9,1))</x:f>
        <x:v>96000</x:v>
      </x:c>
      <x:c r="C9" s="84" t="n">
        <x:f>SUMIFS('05_SALES_PAYMENTS'!$M$6:$M$105,'05_SALES_PAYMENTS'!$C$6:$C$105,"&gt;="&amp;$A9,'05_SALES_PAYMENTS'!$C$6:$C$105,"&lt;"&amp;EDATE($A9,1))</x:f>
        <x:v>93000</x:v>
      </x:c>
      <x:c r="D9" s="84" t="n">
        <x:f>SUMIFS('06_EXPENSES'!$J$6:$J$105,'06_EXPENSES'!$C$6:$C$105,"&gt;="&amp;$A9,'06_EXPENSES'!$C$6:$C$105,"&lt;"&amp;EDATE($A9,1))</x:f>
        <x:v>505000</x:v>
      </x:c>
      <x:c r="E9" s="84" t="n">
        <x:f>SUMIFS('06_EXPENSES'!$K$6:$K$105,'06_EXPENSES'!$C$6:$C$105,"&gt;="&amp;$A9,'06_EXPENSES'!$C$6:$C$105,"&lt;"&amp;EDATE($A9,1))</x:f>
        <x:v>505000</x:v>
      </x:c>
      <x:c r="F9" s="84" t="n">
        <x:f>B9-D9</x:f>
        <x:v>-409000</x:v>
      </x:c>
      <x:c r="G9" s="84" t="n">
        <x:f>C9-E9</x:f>
        <x:v>-412000</x:v>
      </x:c>
      <x:c r="H9" s="86" t="n">
        <x:f>IFERROR(F9/B9,0)</x:f>
        <x:v>-4.260416666666667</x:v>
      </x:c>
      <x:c r="I9" s="88" t="n">
        <x:f>COUNTIFS('02_MEMBERS'!$I$6:$I$105,"Active",'02_MEMBERS'!$J$6:$J$105,"&lt;="&amp;EOMONTH($A9,0),'02_MEMBERS'!$K$6:$K$105,"&gt;="&amp;$A9)</x:f>
        <x:v>6</x:v>
      </x:c>
      <x:c r="J9" s="88" t="n">
        <x:f>COUNTIFS('02_MEMBERS'!$F$6:$F$105,"&gt;="&amp;$A9,'02_MEMBERS'!$F$6:$F$105,"&lt;"&amp;EDATE($A9,1))</x:f>
        <x:v>2</x:v>
      </x:c>
      <x:c r="K9" s="88" t="n">
        <x:f>COUNTIFS('03_CLASS_SCHEDULE'!$C$6:$C$105,"&gt;="&amp;$A9,'03_CLASS_SCHEDULE'!$C$6:$C$105,"&lt;"&amp;EDATE($A9,1),'03_CLASS_SCHEDULE'!$M$6:$M$105,"Completed")</x:f>
        <x:v>4</x:v>
      </x:c>
      <x:c r="L9" s="88" t="n">
        <x:f>SUMIFS('04_ATTENDANCE'!$M$6:$M$105,'04_ATTENDANCE'!$D$6:$D$105,"&gt;="&amp;$A9,'04_ATTENDANCE'!$D$6:$D$105,"&lt;"&amp;EDATE($A9,1))</x:f>
        <x:v>13</x:v>
      </x:c>
      <x:c r="M9" s="88" t="n">
        <x:f>COUNTIFS('07_LEADS_TRIALS'!$C$6:$C$105,"&gt;="&amp;$A9,'07_LEADS_TRIALS'!$C$6:$C$105,"&lt;"&amp;EDATE($A9,1))</x:f>
        <x:v>6</x:v>
      </x:c>
      <x:c r="N9" s="88" t="n">
        <x:f>COUNTIFS('07_LEADS_TRIALS'!$C$6:$C$105,"&gt;="&amp;$A9,'07_LEADS_TRIALS'!$C$6:$C$105,"&lt;"&amp;EDATE($A9,1),'07_LEADS_TRIALS'!$J$6:$J$105,"Converted")</x:f>
        <x:v>2</x:v>
      </x:c>
    </x:row>
    <x:row r="10">
      <x:c r="A10" s="82" t="n">
        <x:v>46174</x:v>
      </x:c>
      <x:c r="B10" s="84" t="n">
        <x:f>SUMIFS('05_SALES_PAYMENTS'!$L$6:$L$105,'05_SALES_PAYMENTS'!$C$6:$C$105,"&gt;="&amp;$A10,'05_SALES_PAYMENTS'!$C$6:$C$105,"&lt;"&amp;EDATE($A10,1))</x:f>
        <x:v>118000</x:v>
      </x:c>
      <x:c r="C10" s="84" t="n">
        <x:f>SUMIFS('05_SALES_PAYMENTS'!$M$6:$M$105,'05_SALES_PAYMENTS'!$C$6:$C$105,"&gt;="&amp;$A10,'05_SALES_PAYMENTS'!$C$6:$C$105,"&lt;"&amp;EDATE($A10,1))</x:f>
        <x:v>118000</x:v>
      </x:c>
      <x:c r="D10" s="84" t="n">
        <x:f>SUMIFS('06_EXPENSES'!$J$6:$J$105,'06_EXPENSES'!$C$6:$C$105,"&gt;="&amp;$A10,'06_EXPENSES'!$C$6:$C$105,"&lt;"&amp;EDATE($A10,1))</x:f>
        <x:v>515000</x:v>
      </x:c>
      <x:c r="E10" s="84" t="n">
        <x:f>SUMIFS('06_EXPENSES'!$K$6:$K$105,'06_EXPENSES'!$C$6:$C$105,"&gt;="&amp;$A10,'06_EXPENSES'!$C$6:$C$105,"&lt;"&amp;EDATE($A10,1))</x:f>
        <x:v>515000</x:v>
      </x:c>
      <x:c r="F10" s="84" t="n">
        <x:f>B10-D10</x:f>
        <x:v>-397000</x:v>
      </x:c>
      <x:c r="G10" s="84" t="n">
        <x:f>C10-E10</x:f>
        <x:v>-397000</x:v>
      </x:c>
      <x:c r="H10" s="86" t="n">
        <x:f>IFERROR(F10/B10,0)</x:f>
        <x:v>-3.364406779661017</x:v>
      </x:c>
      <x:c r="I10" s="88" t="n">
        <x:f>COUNTIFS('02_MEMBERS'!$I$6:$I$105,"Active",'02_MEMBERS'!$J$6:$J$105,"&lt;="&amp;EOMONTH($A10,0),'02_MEMBERS'!$K$6:$K$105,"&gt;="&amp;$A10)</x:f>
        <x:v>3</x:v>
      </x:c>
      <x:c r="J10" s="88" t="n">
        <x:f>COUNTIFS('02_MEMBERS'!$F$6:$F$105,"&gt;="&amp;$A10,'02_MEMBERS'!$F$6:$F$105,"&lt;"&amp;EDATE($A10,1))</x:f>
        <x:v>0</x:v>
      </x:c>
      <x:c r="K10" s="88" t="n">
        <x:f>COUNTIFS('03_CLASS_SCHEDULE'!$C$6:$C$105,"&gt;="&amp;$A10,'03_CLASS_SCHEDULE'!$C$6:$C$105,"&lt;"&amp;EDATE($A10,1),'03_CLASS_SCHEDULE'!$M$6:$M$105,"Completed")</x:f>
        <x:v>5</x:v>
      </x:c>
      <x:c r="L10" s="88" t="n">
        <x:f>SUMIFS('04_ATTENDANCE'!$M$6:$M$105,'04_ATTENDANCE'!$D$6:$D$105,"&gt;="&amp;$A10,'04_ATTENDANCE'!$D$6:$D$105,"&lt;"&amp;EDATE($A10,1))</x:f>
        <x:v>0</x:v>
      </x:c>
      <x:c r="M10" s="88" t="n">
        <x:f>COUNTIFS('07_LEADS_TRIALS'!$C$6:$C$105,"&gt;="&amp;$A10,'07_LEADS_TRIALS'!$C$6:$C$105,"&lt;"&amp;EDATE($A10,1))</x:f>
        <x:v>6</x:v>
      </x:c>
      <x:c r="N10" s="88" t="n">
        <x:f>COUNTIFS('07_LEADS_TRIALS'!$C$6:$C$105,"&gt;="&amp;$A10,'07_LEADS_TRIALS'!$C$6:$C$105,"&lt;"&amp;EDATE($A10,1),'07_LEADS_TRIALS'!$J$6:$J$105,"Converted")</x:f>
        <x:v>2</x:v>
      </x:c>
    </x:row>
    <x:row r="11">
      <x:c r="A11" s="82" t="n">
        <x:v>46204</x:v>
      </x:c>
      <x:c r="B11" s="84" t="n">
        <x:f>SUMIFS('05_SALES_PAYMENTS'!$L$6:$L$105,'05_SALES_PAYMENTS'!$C$6:$C$105,"&gt;="&amp;$A11,'05_SALES_PAYMENTS'!$C$6:$C$105,"&lt;"&amp;EDATE($A11,1))</x:f>
        <x:v>100000</x:v>
      </x:c>
      <x:c r="C11" s="84" t="n">
        <x:f>SUMIFS('05_SALES_PAYMENTS'!$M$6:$M$105,'05_SALES_PAYMENTS'!$C$6:$C$105,"&gt;="&amp;$A11,'05_SALES_PAYMENTS'!$C$6:$C$105,"&lt;"&amp;EDATE($A11,1))</x:f>
        <x:v>97000</x:v>
      </x:c>
      <x:c r="D11" s="84" t="n">
        <x:f>SUMIFS('06_EXPENSES'!$J$6:$J$105,'06_EXPENSES'!$C$6:$C$105,"&gt;="&amp;$A11,'06_EXPENSES'!$C$6:$C$105,"&lt;"&amp;EDATE($A11,1))</x:f>
        <x:v>495000</x:v>
      </x:c>
      <x:c r="E11" s="84" t="n">
        <x:f>SUMIFS('06_EXPENSES'!$K$6:$K$105,'06_EXPENSES'!$C$6:$C$105,"&gt;="&amp;$A11,'06_EXPENSES'!$C$6:$C$105,"&lt;"&amp;EDATE($A11,1))</x:f>
        <x:v>495000</x:v>
      </x:c>
      <x:c r="F11" s="84" t="n">
        <x:f>B11-D11</x:f>
        <x:v>-395000</x:v>
      </x:c>
      <x:c r="G11" s="84" t="n">
        <x:f>C11-E11</x:f>
        <x:v>-398000</x:v>
      </x:c>
      <x:c r="H11" s="86" t="n">
        <x:f>IFERROR(F11/B11,0)</x:f>
        <x:v>-3.95</x:v>
      </x:c>
      <x:c r="I11" s="88" t="n">
        <x:f>COUNTIFS('02_MEMBERS'!$I$6:$I$105,"Active",'02_MEMBERS'!$J$6:$J$105,"&lt;="&amp;EOMONTH($A11,0),'02_MEMBERS'!$K$6:$K$105,"&gt;="&amp;$A11)</x:f>
        <x:v>0</x:v>
      </x:c>
      <x:c r="J11" s="88" t="n">
        <x:f>COUNTIFS('02_MEMBERS'!$F$6:$F$105,"&gt;="&amp;$A11,'02_MEMBERS'!$F$6:$F$105,"&lt;"&amp;EDATE($A11,1))</x:f>
        <x:v>0</x:v>
      </x:c>
      <x:c r="K11" s="88" t="n">
        <x:f>COUNTIFS('03_CLASS_SCHEDULE'!$C$6:$C$105,"&gt;="&amp;$A11,'03_CLASS_SCHEDULE'!$C$6:$C$105,"&lt;"&amp;EDATE($A11,1),'03_CLASS_SCHEDULE'!$M$6:$M$105,"Completed")</x:f>
        <x:v>4</x:v>
      </x:c>
      <x:c r="L11" s="88" t="n">
        <x:f>SUMIFS('04_ATTENDANCE'!$M$6:$M$105,'04_ATTENDANCE'!$D$6:$D$105,"&gt;="&amp;$A11,'04_ATTENDANCE'!$D$6:$D$105,"&lt;"&amp;EDATE($A11,1))</x:f>
        <x:v>0</x:v>
      </x:c>
      <x:c r="M11" s="88" t="n">
        <x:f>COUNTIFS('07_LEADS_TRIALS'!$C$6:$C$105,"&gt;="&amp;$A11,'07_LEADS_TRIALS'!$C$6:$C$105,"&lt;"&amp;EDATE($A11,1))</x:f>
        <x:v>4</x:v>
      </x:c>
      <x:c r="N11" s="88" t="n">
        <x:f>COUNTIFS('07_LEADS_TRIALS'!$C$6:$C$105,"&gt;="&amp;$A11,'07_LEADS_TRIALS'!$C$6:$C$105,"&lt;"&amp;EDATE($A11,1),'07_LEADS_TRIALS'!$J$6:$J$105,"Converted")</x:f>
        <x:v>2</x:v>
      </x:c>
    </x:row>
    <x:row r="12">
      <x:c r="A12" s="82" t="n">
        <x:v>46235</x:v>
      </x:c>
      <x:c r="B12" s="84" t="n">
        <x:f>SUMIFS('05_SALES_PAYMENTS'!$L$6:$L$105,'05_SALES_PAYMENTS'!$C$6:$C$105,"&gt;="&amp;$A12,'05_SALES_PAYMENTS'!$C$6:$C$105,"&lt;"&amp;EDATE($A12,1))</x:f>
        <x:v>16000</x:v>
      </x:c>
      <x:c r="C12" s="84" t="n">
        <x:f>SUMIFS('05_SALES_PAYMENTS'!$M$6:$M$105,'05_SALES_PAYMENTS'!$C$6:$C$105,"&gt;="&amp;$A12,'05_SALES_PAYMENTS'!$C$6:$C$105,"&lt;"&amp;EDATE($A12,1))</x:f>
        <x:v>16000</x:v>
      </x:c>
      <x:c r="D12" s="84" t="n">
        <x:f>SUMIFS('06_EXPENSES'!$J$6:$J$105,'06_EXPENSES'!$C$6:$C$105,"&gt;="&amp;$A12,'06_EXPENSES'!$C$6:$C$105,"&lt;"&amp;EDATE($A12,1))</x:f>
        <x:v>0</x:v>
      </x:c>
      <x:c r="E12" s="84" t="n">
        <x:f>SUMIFS('06_EXPENSES'!$K$6:$K$105,'06_EXPENSES'!$C$6:$C$105,"&gt;="&amp;$A12,'06_EXPENSES'!$C$6:$C$105,"&lt;"&amp;EDATE($A12,1))</x:f>
        <x:v>0</x:v>
      </x:c>
      <x:c r="F12" s="84" t="n">
        <x:f>B12-D12</x:f>
        <x:v>16000</x:v>
      </x:c>
      <x:c r="G12" s="84" t="n">
        <x:f>C12-E12</x:f>
        <x:v>16000</x:v>
      </x:c>
      <x:c r="H12" s="86" t="n">
        <x:f>IFERROR(F12/B12,0)</x:f>
        <x:v>1</x:v>
      </x:c>
      <x:c r="I12" s="88" t="n">
        <x:f>COUNTIFS('02_MEMBERS'!$I$6:$I$105,"Active",'02_MEMBERS'!$J$6:$J$105,"&lt;="&amp;EOMONTH($A12,0),'02_MEMBERS'!$K$6:$K$105,"&gt;="&amp;$A12)</x:f>
        <x:v>0</x:v>
      </x:c>
      <x:c r="J12" s="88" t="n">
        <x:f>COUNTIFS('02_MEMBERS'!$F$6:$F$105,"&gt;="&amp;$A12,'02_MEMBERS'!$F$6:$F$105,"&lt;"&amp;EDATE($A12,1))</x:f>
        <x:v>0</x:v>
      </x:c>
      <x:c r="K12" s="88" t="n">
        <x:f>COUNTIFS('03_CLASS_SCHEDULE'!$C$6:$C$105,"&gt;="&amp;$A12,'03_CLASS_SCHEDULE'!$C$6:$C$105,"&lt;"&amp;EDATE($A12,1),'03_CLASS_SCHEDULE'!$M$6:$M$105,"Completed")</x:f>
        <x:v>0</x:v>
      </x:c>
      <x:c r="L12" s="88" t="n">
        <x:f>SUMIFS('04_ATTENDANCE'!$M$6:$M$105,'04_ATTENDANCE'!$D$6:$D$105,"&gt;="&amp;$A12,'04_ATTENDANCE'!$D$6:$D$105,"&lt;"&amp;EDATE($A12,1))</x:f>
        <x:v>0</x:v>
      </x:c>
      <x:c r="M12" s="88" t="n">
        <x:f>COUNTIFS('07_LEADS_TRIALS'!$C$6:$C$105,"&gt;="&amp;$A12,'07_LEADS_TRIALS'!$C$6:$C$105,"&lt;"&amp;EDATE($A12,1))</x:f>
        <x:v>0</x:v>
      </x:c>
      <x:c r="N12" s="88" t="n">
        <x:f>COUNTIFS('07_LEADS_TRIALS'!$C$6:$C$105,"&gt;="&amp;$A12,'07_LEADS_TRIALS'!$C$6:$C$105,"&lt;"&amp;EDATE($A12,1),'07_LEADS_TRIALS'!$J$6:$J$105,"Converted")</x:f>
        <x:v>0</x:v>
      </x:c>
    </x:row>
    <x:row r="13">
      <x:c r="A13" s="82" t="n">
        <x:v>46266</x:v>
      </x:c>
      <x:c r="B13" s="84" t="n">
        <x:f>SUMIFS('05_SALES_PAYMENTS'!$L$6:$L$105,'05_SALES_PAYMENTS'!$C$6:$C$105,"&gt;="&amp;$A13,'05_SALES_PAYMENTS'!$C$6:$C$105,"&lt;"&amp;EDATE($A13,1))</x:f>
        <x:v>0</x:v>
      </x:c>
      <x:c r="C13" s="84" t="n">
        <x:f>SUMIFS('05_SALES_PAYMENTS'!$M$6:$M$105,'05_SALES_PAYMENTS'!$C$6:$C$105,"&gt;="&amp;$A13,'05_SALES_PAYMENTS'!$C$6:$C$105,"&lt;"&amp;EDATE($A13,1))</x:f>
        <x:v>0</x:v>
      </x:c>
      <x:c r="D13" s="84" t="n">
        <x:f>SUMIFS('06_EXPENSES'!$J$6:$J$105,'06_EXPENSES'!$C$6:$C$105,"&gt;="&amp;$A13,'06_EXPENSES'!$C$6:$C$105,"&lt;"&amp;EDATE($A13,1))</x:f>
        <x:v>0</x:v>
      </x:c>
      <x:c r="E13" s="84" t="n">
        <x:f>SUMIFS('06_EXPENSES'!$K$6:$K$105,'06_EXPENSES'!$C$6:$C$105,"&gt;="&amp;$A13,'06_EXPENSES'!$C$6:$C$105,"&lt;"&amp;EDATE($A13,1))</x:f>
        <x:v>0</x:v>
      </x:c>
      <x:c r="F13" s="84" t="n">
        <x:f>B13-D13</x:f>
        <x:v>0</x:v>
      </x:c>
      <x:c r="G13" s="84" t="n">
        <x:f>C13-E13</x:f>
        <x:v>0</x:v>
      </x:c>
      <x:c r="H13" s="86" t="n">
        <x:f>IFERROR(F13/B13,0)</x:f>
        <x:v>0</x:v>
      </x:c>
      <x:c r="I13" s="88" t="n">
        <x:f>COUNTIFS('02_MEMBERS'!$I$6:$I$105,"Active",'02_MEMBERS'!$J$6:$J$105,"&lt;="&amp;EOMONTH($A13,0),'02_MEMBERS'!$K$6:$K$105,"&gt;="&amp;$A13)</x:f>
        <x:v>0</x:v>
      </x:c>
      <x:c r="J13" s="88" t="n">
        <x:f>COUNTIFS('02_MEMBERS'!$F$6:$F$105,"&gt;="&amp;$A13,'02_MEMBERS'!$F$6:$F$105,"&lt;"&amp;EDATE($A13,1))</x:f>
        <x:v>0</x:v>
      </x:c>
      <x:c r="K13" s="88" t="n">
        <x:f>COUNTIFS('03_CLASS_SCHEDULE'!$C$6:$C$105,"&gt;="&amp;$A13,'03_CLASS_SCHEDULE'!$C$6:$C$105,"&lt;"&amp;EDATE($A13,1),'03_CLASS_SCHEDULE'!$M$6:$M$105,"Completed")</x:f>
        <x:v>0</x:v>
      </x:c>
      <x:c r="L13" s="88" t="n">
        <x:f>SUMIFS('04_ATTENDANCE'!$M$6:$M$105,'04_ATTENDANCE'!$D$6:$D$105,"&gt;="&amp;$A13,'04_ATTENDANCE'!$D$6:$D$105,"&lt;"&amp;EDATE($A13,1))</x:f>
        <x:v>0</x:v>
      </x:c>
      <x:c r="M13" s="88" t="n">
        <x:f>COUNTIFS('07_LEADS_TRIALS'!$C$6:$C$105,"&gt;="&amp;$A13,'07_LEADS_TRIALS'!$C$6:$C$105,"&lt;"&amp;EDATE($A13,1))</x:f>
        <x:v>0</x:v>
      </x:c>
      <x:c r="N13" s="88" t="n">
        <x:f>COUNTIFS('07_LEADS_TRIALS'!$C$6:$C$105,"&gt;="&amp;$A13,'07_LEADS_TRIALS'!$C$6:$C$105,"&lt;"&amp;EDATE($A13,1),'07_LEADS_TRIALS'!$J$6:$J$105,"Converted")</x:f>
        <x:v>0</x:v>
      </x:c>
    </x:row>
    <x:row r="14">
      <x:c r="A14" s="82" t="n">
        <x:v>46296</x:v>
      </x:c>
      <x:c r="B14" s="84" t="n">
        <x:f>SUMIFS('05_SALES_PAYMENTS'!$L$6:$L$105,'05_SALES_PAYMENTS'!$C$6:$C$105,"&gt;="&amp;$A14,'05_SALES_PAYMENTS'!$C$6:$C$105,"&lt;"&amp;EDATE($A14,1))</x:f>
        <x:v>0</x:v>
      </x:c>
      <x:c r="C14" s="84" t="n">
        <x:f>SUMIFS('05_SALES_PAYMENTS'!$M$6:$M$105,'05_SALES_PAYMENTS'!$C$6:$C$105,"&gt;="&amp;$A14,'05_SALES_PAYMENTS'!$C$6:$C$105,"&lt;"&amp;EDATE($A14,1))</x:f>
        <x:v>0</x:v>
      </x:c>
      <x:c r="D14" s="84" t="n">
        <x:f>SUMIFS('06_EXPENSES'!$J$6:$J$105,'06_EXPENSES'!$C$6:$C$105,"&gt;="&amp;$A14,'06_EXPENSES'!$C$6:$C$105,"&lt;"&amp;EDATE($A14,1))</x:f>
        <x:v>0</x:v>
      </x:c>
      <x:c r="E14" s="84" t="n">
        <x:f>SUMIFS('06_EXPENSES'!$K$6:$K$105,'06_EXPENSES'!$C$6:$C$105,"&gt;="&amp;$A14,'06_EXPENSES'!$C$6:$C$105,"&lt;"&amp;EDATE($A14,1))</x:f>
        <x:v>0</x:v>
      </x:c>
      <x:c r="F14" s="84" t="n">
        <x:f>B14-D14</x:f>
        <x:v>0</x:v>
      </x:c>
      <x:c r="G14" s="84" t="n">
        <x:f>C14-E14</x:f>
        <x:v>0</x:v>
      </x:c>
      <x:c r="H14" s="86" t="n">
        <x:f>IFERROR(F14/B14,0)</x:f>
        <x:v>0</x:v>
      </x:c>
      <x:c r="I14" s="88" t="n">
        <x:f>COUNTIFS('02_MEMBERS'!$I$6:$I$105,"Active",'02_MEMBERS'!$J$6:$J$105,"&lt;="&amp;EOMONTH($A14,0),'02_MEMBERS'!$K$6:$K$105,"&gt;="&amp;$A14)</x:f>
        <x:v>0</x:v>
      </x:c>
      <x:c r="J14" s="88" t="n">
        <x:f>COUNTIFS('02_MEMBERS'!$F$6:$F$105,"&gt;="&amp;$A14,'02_MEMBERS'!$F$6:$F$105,"&lt;"&amp;EDATE($A14,1))</x:f>
        <x:v>0</x:v>
      </x:c>
      <x:c r="K14" s="88" t="n">
        <x:f>COUNTIFS('03_CLASS_SCHEDULE'!$C$6:$C$105,"&gt;="&amp;$A14,'03_CLASS_SCHEDULE'!$C$6:$C$105,"&lt;"&amp;EDATE($A14,1),'03_CLASS_SCHEDULE'!$M$6:$M$105,"Completed")</x:f>
        <x:v>0</x:v>
      </x:c>
      <x:c r="L14" s="88" t="n">
        <x:f>SUMIFS('04_ATTENDANCE'!$M$6:$M$105,'04_ATTENDANCE'!$D$6:$D$105,"&gt;="&amp;$A14,'04_ATTENDANCE'!$D$6:$D$105,"&lt;"&amp;EDATE($A14,1))</x:f>
        <x:v>0</x:v>
      </x:c>
      <x:c r="M14" s="88" t="n">
        <x:f>COUNTIFS('07_LEADS_TRIALS'!$C$6:$C$105,"&gt;="&amp;$A14,'07_LEADS_TRIALS'!$C$6:$C$105,"&lt;"&amp;EDATE($A14,1))</x:f>
        <x:v>0</x:v>
      </x:c>
      <x:c r="N14" s="88" t="n">
        <x:f>COUNTIFS('07_LEADS_TRIALS'!$C$6:$C$105,"&gt;="&amp;$A14,'07_LEADS_TRIALS'!$C$6:$C$105,"&lt;"&amp;EDATE($A14,1),'07_LEADS_TRIALS'!$J$6:$J$105,"Converted")</x:f>
        <x:v>0</x:v>
      </x:c>
    </x:row>
    <x:row r="15">
      <x:c r="A15" s="82" t="n">
        <x:v>46327</x:v>
      </x:c>
      <x:c r="B15" s="84" t="n">
        <x:f>SUMIFS('05_SALES_PAYMENTS'!$L$6:$L$105,'05_SALES_PAYMENTS'!$C$6:$C$105,"&gt;="&amp;$A15,'05_SALES_PAYMENTS'!$C$6:$C$105,"&lt;"&amp;EDATE($A15,1))</x:f>
        <x:v>0</x:v>
      </x:c>
      <x:c r="C15" s="84" t="n">
        <x:f>SUMIFS('05_SALES_PAYMENTS'!$M$6:$M$105,'05_SALES_PAYMENTS'!$C$6:$C$105,"&gt;="&amp;$A15,'05_SALES_PAYMENTS'!$C$6:$C$105,"&lt;"&amp;EDATE($A15,1))</x:f>
        <x:v>0</x:v>
      </x:c>
      <x:c r="D15" s="84" t="n">
        <x:f>SUMIFS('06_EXPENSES'!$J$6:$J$105,'06_EXPENSES'!$C$6:$C$105,"&gt;="&amp;$A15,'06_EXPENSES'!$C$6:$C$105,"&lt;"&amp;EDATE($A15,1))</x:f>
        <x:v>0</x:v>
      </x:c>
      <x:c r="E15" s="84" t="n">
        <x:f>SUMIFS('06_EXPENSES'!$K$6:$K$105,'06_EXPENSES'!$C$6:$C$105,"&gt;="&amp;$A15,'06_EXPENSES'!$C$6:$C$105,"&lt;"&amp;EDATE($A15,1))</x:f>
        <x:v>0</x:v>
      </x:c>
      <x:c r="F15" s="84" t="n">
        <x:f>B15-D15</x:f>
        <x:v>0</x:v>
      </x:c>
      <x:c r="G15" s="84" t="n">
        <x:f>C15-E15</x:f>
        <x:v>0</x:v>
      </x:c>
      <x:c r="H15" s="86" t="n">
        <x:f>IFERROR(F15/B15,0)</x:f>
        <x:v>0</x:v>
      </x:c>
      <x:c r="I15" s="88" t="n">
        <x:f>COUNTIFS('02_MEMBERS'!$I$6:$I$105,"Active",'02_MEMBERS'!$J$6:$J$105,"&lt;="&amp;EOMONTH($A15,0),'02_MEMBERS'!$K$6:$K$105,"&gt;="&amp;$A15)</x:f>
        <x:v>0</x:v>
      </x:c>
      <x:c r="J15" s="88" t="n">
        <x:f>COUNTIFS('02_MEMBERS'!$F$6:$F$105,"&gt;="&amp;$A15,'02_MEMBERS'!$F$6:$F$105,"&lt;"&amp;EDATE($A15,1))</x:f>
        <x:v>0</x:v>
      </x:c>
      <x:c r="K15" s="88" t="n">
        <x:f>COUNTIFS('03_CLASS_SCHEDULE'!$C$6:$C$105,"&gt;="&amp;$A15,'03_CLASS_SCHEDULE'!$C$6:$C$105,"&lt;"&amp;EDATE($A15,1),'03_CLASS_SCHEDULE'!$M$6:$M$105,"Completed")</x:f>
        <x:v>0</x:v>
      </x:c>
      <x:c r="L15" s="88" t="n">
        <x:f>SUMIFS('04_ATTENDANCE'!$M$6:$M$105,'04_ATTENDANCE'!$D$6:$D$105,"&gt;="&amp;$A15,'04_ATTENDANCE'!$D$6:$D$105,"&lt;"&amp;EDATE($A15,1))</x:f>
        <x:v>0</x:v>
      </x:c>
      <x:c r="M15" s="88" t="n">
        <x:f>COUNTIFS('07_LEADS_TRIALS'!$C$6:$C$105,"&gt;="&amp;$A15,'07_LEADS_TRIALS'!$C$6:$C$105,"&lt;"&amp;EDATE($A15,1))</x:f>
        <x:v>0</x:v>
      </x:c>
      <x:c r="N15" s="88" t="n">
        <x:f>COUNTIFS('07_LEADS_TRIALS'!$C$6:$C$105,"&gt;="&amp;$A15,'07_LEADS_TRIALS'!$C$6:$C$105,"&lt;"&amp;EDATE($A15,1),'07_LEADS_TRIALS'!$J$6:$J$105,"Converted")</x:f>
        <x:v>0</x:v>
      </x:c>
    </x:row>
    <x:row r="16">
      <x:c r="A16" s="82" t="n">
        <x:v>46357</x:v>
      </x:c>
      <x:c r="B16" s="84" t="n">
        <x:f>SUMIFS('05_SALES_PAYMENTS'!$L$6:$L$105,'05_SALES_PAYMENTS'!$C$6:$C$105,"&gt;="&amp;$A16,'05_SALES_PAYMENTS'!$C$6:$C$105,"&lt;"&amp;EDATE($A16,1))</x:f>
        <x:v>0</x:v>
      </x:c>
      <x:c r="C16" s="84" t="n">
        <x:f>SUMIFS('05_SALES_PAYMENTS'!$M$6:$M$105,'05_SALES_PAYMENTS'!$C$6:$C$105,"&gt;="&amp;$A16,'05_SALES_PAYMENTS'!$C$6:$C$105,"&lt;"&amp;EDATE($A16,1))</x:f>
        <x:v>0</x:v>
      </x:c>
      <x:c r="D16" s="84" t="n">
        <x:f>SUMIFS('06_EXPENSES'!$J$6:$J$105,'06_EXPENSES'!$C$6:$C$105,"&gt;="&amp;$A16,'06_EXPENSES'!$C$6:$C$105,"&lt;"&amp;EDATE($A16,1))</x:f>
        <x:v>0</x:v>
      </x:c>
      <x:c r="E16" s="84" t="n">
        <x:f>SUMIFS('06_EXPENSES'!$K$6:$K$105,'06_EXPENSES'!$C$6:$C$105,"&gt;="&amp;$A16,'06_EXPENSES'!$C$6:$C$105,"&lt;"&amp;EDATE($A16,1))</x:f>
        <x:v>0</x:v>
      </x:c>
      <x:c r="F16" s="84" t="n">
        <x:f>B16-D16</x:f>
        <x:v>0</x:v>
      </x:c>
      <x:c r="G16" s="84" t="n">
        <x:f>C16-E16</x:f>
        <x:v>0</x:v>
      </x:c>
      <x:c r="H16" s="86" t="n">
        <x:f>IFERROR(F16/B16,0)</x:f>
        <x:v>0</x:v>
      </x:c>
      <x:c r="I16" s="88" t="n">
        <x:f>COUNTIFS('02_MEMBERS'!$I$6:$I$105,"Active",'02_MEMBERS'!$J$6:$J$105,"&lt;="&amp;EOMONTH($A16,0),'02_MEMBERS'!$K$6:$K$105,"&gt;="&amp;$A16)</x:f>
        <x:v>0</x:v>
      </x:c>
      <x:c r="J16" s="88" t="n">
        <x:f>COUNTIFS('02_MEMBERS'!$F$6:$F$105,"&gt;="&amp;$A16,'02_MEMBERS'!$F$6:$F$105,"&lt;"&amp;EDATE($A16,1))</x:f>
        <x:v>0</x:v>
      </x:c>
      <x:c r="K16" s="88" t="n">
        <x:f>COUNTIFS('03_CLASS_SCHEDULE'!$C$6:$C$105,"&gt;="&amp;$A16,'03_CLASS_SCHEDULE'!$C$6:$C$105,"&lt;"&amp;EDATE($A16,1),'03_CLASS_SCHEDULE'!$M$6:$M$105,"Completed")</x:f>
        <x:v>0</x:v>
      </x:c>
      <x:c r="L16" s="88" t="n">
        <x:f>SUMIFS('04_ATTENDANCE'!$M$6:$M$105,'04_ATTENDANCE'!$D$6:$D$105,"&gt;="&amp;$A16,'04_ATTENDANCE'!$D$6:$D$105,"&lt;"&amp;EDATE($A16,1))</x:f>
        <x:v>0</x:v>
      </x:c>
      <x:c r="M16" s="88" t="n">
        <x:f>COUNTIFS('07_LEADS_TRIALS'!$C$6:$C$105,"&gt;="&amp;$A16,'07_LEADS_TRIALS'!$C$6:$C$105,"&lt;"&amp;EDATE($A16,1))</x:f>
        <x:v>0</x:v>
      </x:c>
      <x:c r="N16" s="88" t="n">
        <x:f>COUNTIFS('07_LEADS_TRIALS'!$C$6:$C$105,"&gt;="&amp;$A16,'07_LEADS_TRIALS'!$C$6:$C$105,"&lt;"&amp;EDATE($A16,1),'07_LEADS_TRIALS'!$J$6:$J$105,"Converted")</x:f>
        <x:v>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4" customHeight="1">
      <x:c r="A1" s="4" t="str">
        <x:v>BACKEND — CUSTOMER PROGRESS ENGINE</x:v>
      </x:c>
      <x:c r="B1" s="4"/>
      <x:c r="C1" s="4"/>
      <x:c r="D1" s="4"/>
      <x:c r="E1" s="4"/>
      <x:c r="F1" s="4"/>
      <x:c r="G1" s="4"/>
      <x:c r="H1" s="4"/>
    </x:row>
    <x:row r="2" ht="26" customHeight="1">
      <x:c r="A2" s="10" t="str">
        <x:v>Select a member on the customer dashboard; this sheet feeds the charts.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Sequence</x:v>
      </x:c>
      <x:c r="B4" s="18" t="str">
        <x:v>Assessment Date</x:v>
      </x:c>
      <x:c r="C4" s="18" t="str">
        <x:v>Mobility</x:v>
      </x:c>
      <x:c r="D4" s="18" t="str">
        <x:v>Core Strength</x:v>
      </x:c>
      <x:c r="E4" s="18" t="str">
        <x:v>Balance</x:v>
      </x:c>
      <x:c r="F4" s="18" t="str">
        <x:v>Posture</x:v>
      </x:c>
      <x:c r="G4" s="18" t="str">
        <x:v>Energy</x:v>
      </x:c>
      <x:c r="H4" s="18" t="str">
        <x:v>Goal Progress %</x:v>
      </x:c>
    </x:row>
    <x:row r="5">
      <x:c r="A5" t="n">
        <x:v>1</x:v>
      </x:c>
      <x:c r="B5" s="90" t="n">
        <x:f>IFERROR(INDEX('08_CLIENT_PROGRESS'!$E$6:$E$105,MATCH('12_CUSTOMER_DASHBOARD'!$B$4&amp;"|"&amp;$A5,'08_CLIENT_PROGRESS'!$Q$6:$Q$105,0)),"")</x:f>
        <x:v>46037</x:v>
      </x:c>
      <x:c r="C5" t="n">
        <x:f>IFERROR(INDEX('08_CLIENT_PROGRESS'!$F$6:$F$105,MATCH('12_CUSTOMER_DASHBOARD'!$B$4&amp;"|"&amp;$A5,'08_CLIENT_PROGRESS'!$Q$6:$Q$105,0)),"")</x:f>
        <x:v>4</x:v>
      </x:c>
      <x:c r="D5" t="n">
        <x:f>IFERROR(INDEX('08_CLIENT_PROGRESS'!$G$6:$G$105,MATCH('12_CUSTOMER_DASHBOARD'!$B$4&amp;"|"&amp;$A5,'08_CLIENT_PROGRESS'!$Q$6:$Q$105,0)),"")</x:f>
        <x:v>5</x:v>
      </x:c>
      <x:c r="E5" t="n">
        <x:f>IFERROR(INDEX('08_CLIENT_PROGRESS'!$H$6:$H$105,MATCH('12_CUSTOMER_DASHBOARD'!$B$4&amp;"|"&amp;$A5,'08_CLIENT_PROGRESS'!$Q$6:$Q$105,0)),"")</x:f>
        <x:v>4</x:v>
      </x:c>
      <x:c r="F5" t="n">
        <x:f>IFERROR(INDEX('08_CLIENT_PROGRESS'!$I$6:$I$105,MATCH('12_CUSTOMER_DASHBOARD'!$B$4&amp;"|"&amp;$A5,'08_CLIENT_PROGRESS'!$Q$6:$Q$105,0)),"")</x:f>
        <x:v>5</x:v>
      </x:c>
      <x:c r="G5" t="n">
        <x:f>IFERROR(INDEX('08_CLIENT_PROGRESS'!$J$6:$J$105,MATCH('12_CUSTOMER_DASHBOARD'!$B$4&amp;"|"&amp;$A5,'08_CLIENT_PROGRESS'!$Q$6:$Q$105,0)),"")</x:f>
        <x:v>5</x:v>
      </x:c>
      <x:c r="H5" s="86" t="n">
        <x:f>IFERROR(INDEX('08_CLIENT_PROGRESS'!$K$6:$K$105,MATCH('12_CUSTOMER_DASHBOARD'!$B$4&amp;"|"&amp;$A5,'08_CLIENT_PROGRESS'!$Q$6:$Q$105,0)),"")</x:f>
        <x:v>0.35</x:v>
      </x:c>
    </x:row>
    <x:row r="6">
      <x:c r="A6" t="n">
        <x:v>2</x:v>
      </x:c>
      <x:c r="B6" s="90" t="n">
        <x:f>IFERROR(INDEX('08_CLIENT_PROGRESS'!$E$6:$E$105,MATCH('12_CUSTOMER_DASHBOARD'!$B$4&amp;"|"&amp;$A6,'08_CLIENT_PROGRESS'!$Q$6:$Q$105,0)),"")</x:f>
        <x:v>46037</x:v>
      </x:c>
      <x:c r="C6" t="n">
        <x:f>IFERROR(INDEX('08_CLIENT_PROGRESS'!$F$6:$F$105,MATCH('12_CUSTOMER_DASHBOARD'!$B$4&amp;"|"&amp;$A6,'08_CLIENT_PROGRESS'!$Q$6:$Q$105,0)),"")</x:f>
        <x:v>4</x:v>
      </x:c>
      <x:c r="D6" t="n">
        <x:f>IFERROR(INDEX('08_CLIENT_PROGRESS'!$G$6:$G$105,MATCH('12_CUSTOMER_DASHBOARD'!$B$4&amp;"|"&amp;$A6,'08_CLIENT_PROGRESS'!$Q$6:$Q$105,0)),"")</x:f>
        <x:v>5</x:v>
      </x:c>
      <x:c r="E6" t="n">
        <x:f>IFERROR(INDEX('08_CLIENT_PROGRESS'!$H$6:$H$105,MATCH('12_CUSTOMER_DASHBOARD'!$B$4&amp;"|"&amp;$A6,'08_CLIENT_PROGRESS'!$Q$6:$Q$105,0)),"")</x:f>
        <x:v>4</x:v>
      </x:c>
      <x:c r="F6" t="n">
        <x:f>IFERROR(INDEX('08_CLIENT_PROGRESS'!$I$6:$I$105,MATCH('12_CUSTOMER_DASHBOARD'!$B$4&amp;"|"&amp;$A6,'08_CLIENT_PROGRESS'!$Q$6:$Q$105,0)),"")</x:f>
        <x:v>5</x:v>
      </x:c>
      <x:c r="G6" t="n">
        <x:f>IFERROR(INDEX('08_CLIENT_PROGRESS'!$J$6:$J$105,MATCH('12_CUSTOMER_DASHBOARD'!$B$4&amp;"|"&amp;$A6,'08_CLIENT_PROGRESS'!$Q$6:$Q$105,0)),"")</x:f>
        <x:v>5</x:v>
      </x:c>
      <x:c r="H6" s="86" t="n">
        <x:f>IFERROR(INDEX('08_CLIENT_PROGRESS'!$K$6:$K$105,MATCH('12_CUSTOMER_DASHBOARD'!$B$4&amp;"|"&amp;$A6,'08_CLIENT_PROGRESS'!$Q$6:$Q$105,0)),"")</x:f>
        <x:v>0.35</x:v>
      </x:c>
    </x:row>
    <x:row r="7">
      <x:c r="A7" t="n">
        <x:v>3</x:v>
      </x:c>
      <x:c r="B7" s="90" t="n">
        <x:f>IFERROR(INDEX('08_CLIENT_PROGRESS'!$E$6:$E$105,MATCH('12_CUSTOMER_DASHBOARD'!$B$4&amp;"|"&amp;$A7,'08_CLIENT_PROGRESS'!$Q$6:$Q$105,0)),"")</x:f>
        <x:v>46037</x:v>
      </x:c>
      <x:c r="C7" t="n">
        <x:f>IFERROR(INDEX('08_CLIENT_PROGRESS'!$F$6:$F$105,MATCH('12_CUSTOMER_DASHBOARD'!$B$4&amp;"|"&amp;$A7,'08_CLIENT_PROGRESS'!$Q$6:$Q$105,0)),"")</x:f>
        <x:v>4</x:v>
      </x:c>
      <x:c r="D7" t="n">
        <x:f>IFERROR(INDEX('08_CLIENT_PROGRESS'!$G$6:$G$105,MATCH('12_CUSTOMER_DASHBOARD'!$B$4&amp;"|"&amp;$A7,'08_CLIENT_PROGRESS'!$Q$6:$Q$105,0)),"")</x:f>
        <x:v>5</x:v>
      </x:c>
      <x:c r="E7" t="n">
        <x:f>IFERROR(INDEX('08_CLIENT_PROGRESS'!$H$6:$H$105,MATCH('12_CUSTOMER_DASHBOARD'!$B$4&amp;"|"&amp;$A7,'08_CLIENT_PROGRESS'!$Q$6:$Q$105,0)),"")</x:f>
        <x:v>4</x:v>
      </x:c>
      <x:c r="F7" t="n">
        <x:f>IFERROR(INDEX('08_CLIENT_PROGRESS'!$I$6:$I$105,MATCH('12_CUSTOMER_DASHBOARD'!$B$4&amp;"|"&amp;$A7,'08_CLIENT_PROGRESS'!$Q$6:$Q$105,0)),"")</x:f>
        <x:v>5</x:v>
      </x:c>
      <x:c r="G7" t="n">
        <x:f>IFERROR(INDEX('08_CLIENT_PROGRESS'!$J$6:$J$105,MATCH('12_CUSTOMER_DASHBOARD'!$B$4&amp;"|"&amp;$A7,'08_CLIENT_PROGRESS'!$Q$6:$Q$105,0)),"")</x:f>
        <x:v>5</x:v>
      </x:c>
      <x:c r="H7" s="86" t="n">
        <x:f>IFERROR(INDEX('08_CLIENT_PROGRESS'!$K$6:$K$105,MATCH('12_CUSTOMER_DASHBOARD'!$B$4&amp;"|"&amp;$A7,'08_CLIENT_PROGRESS'!$Q$6:$Q$105,0)),"")</x:f>
        <x:v>0.35</x:v>
      </x:c>
    </x:row>
    <x:row r="8">
      <x:c r="A8" t="n">
        <x:v>4</x:v>
      </x:c>
      <x:c r="B8" s="90" t="n">
        <x:f>IFERROR(INDEX('08_CLIENT_PROGRESS'!$E$6:$E$105,MATCH('12_CUSTOMER_DASHBOARD'!$B$4&amp;"|"&amp;$A8,'08_CLIENT_PROGRESS'!$Q$6:$Q$105,0)),"")</x:f>
        <x:v>46037</x:v>
      </x:c>
      <x:c r="C8" t="n">
        <x:f>IFERROR(INDEX('08_CLIENT_PROGRESS'!$F$6:$F$105,MATCH('12_CUSTOMER_DASHBOARD'!$B$4&amp;"|"&amp;$A8,'08_CLIENT_PROGRESS'!$Q$6:$Q$105,0)),"")</x:f>
        <x:v>4</x:v>
      </x:c>
      <x:c r="D8" t="n">
        <x:f>IFERROR(INDEX('08_CLIENT_PROGRESS'!$G$6:$G$105,MATCH('12_CUSTOMER_DASHBOARD'!$B$4&amp;"|"&amp;$A8,'08_CLIENT_PROGRESS'!$Q$6:$Q$105,0)),"")</x:f>
        <x:v>5</x:v>
      </x:c>
      <x:c r="E8" t="n">
        <x:f>IFERROR(INDEX('08_CLIENT_PROGRESS'!$H$6:$H$105,MATCH('12_CUSTOMER_DASHBOARD'!$B$4&amp;"|"&amp;$A8,'08_CLIENT_PROGRESS'!$Q$6:$Q$105,0)),"")</x:f>
        <x:v>4</x:v>
      </x:c>
      <x:c r="F8" t="n">
        <x:f>IFERROR(INDEX('08_CLIENT_PROGRESS'!$I$6:$I$105,MATCH('12_CUSTOMER_DASHBOARD'!$B$4&amp;"|"&amp;$A8,'08_CLIENT_PROGRESS'!$Q$6:$Q$105,0)),"")</x:f>
        <x:v>5</x:v>
      </x:c>
      <x:c r="G8" t="n">
        <x:f>IFERROR(INDEX('08_CLIENT_PROGRESS'!$J$6:$J$105,MATCH('12_CUSTOMER_DASHBOARD'!$B$4&amp;"|"&amp;$A8,'08_CLIENT_PROGRESS'!$Q$6:$Q$105,0)),"")</x:f>
        <x:v>5</x:v>
      </x:c>
      <x:c r="H8" s="86" t="n">
        <x:f>IFERROR(INDEX('08_CLIENT_PROGRESS'!$K$6:$K$105,MATCH('12_CUSTOMER_DASHBOARD'!$B$4&amp;"|"&amp;$A8,'08_CLIENT_PROGRESS'!$Q$6:$Q$105,0)),"")</x:f>
        <x:v>0.35</x:v>
      </x:c>
    </x:row>
    <x:row r="9">
      <x:c r="A9" t="n">
        <x:v>5</x:v>
      </x:c>
      <x:c r="B9" s="90" t="n">
        <x:f>IFERROR(INDEX('08_CLIENT_PROGRESS'!$E$6:$E$105,MATCH('12_CUSTOMER_DASHBOARD'!$B$4&amp;"|"&amp;$A9,'08_CLIENT_PROGRESS'!$Q$6:$Q$105,0)),"")</x:f>
        <x:v>46037</x:v>
      </x:c>
      <x:c r="C9" t="n">
        <x:f>IFERROR(INDEX('08_CLIENT_PROGRESS'!$F$6:$F$105,MATCH('12_CUSTOMER_DASHBOARD'!$B$4&amp;"|"&amp;$A9,'08_CLIENT_PROGRESS'!$Q$6:$Q$105,0)),"")</x:f>
        <x:v>4</x:v>
      </x:c>
      <x:c r="D9" t="n">
        <x:f>IFERROR(INDEX('08_CLIENT_PROGRESS'!$G$6:$G$105,MATCH('12_CUSTOMER_DASHBOARD'!$B$4&amp;"|"&amp;$A9,'08_CLIENT_PROGRESS'!$Q$6:$Q$105,0)),"")</x:f>
        <x:v>5</x:v>
      </x:c>
      <x:c r="E9" t="n">
        <x:f>IFERROR(INDEX('08_CLIENT_PROGRESS'!$H$6:$H$105,MATCH('12_CUSTOMER_DASHBOARD'!$B$4&amp;"|"&amp;$A9,'08_CLIENT_PROGRESS'!$Q$6:$Q$105,0)),"")</x:f>
        <x:v>4</x:v>
      </x:c>
      <x:c r="F9" t="n">
        <x:f>IFERROR(INDEX('08_CLIENT_PROGRESS'!$I$6:$I$105,MATCH('12_CUSTOMER_DASHBOARD'!$B$4&amp;"|"&amp;$A9,'08_CLIENT_PROGRESS'!$Q$6:$Q$105,0)),"")</x:f>
        <x:v>5</x:v>
      </x:c>
      <x:c r="G9" t="n">
        <x:f>IFERROR(INDEX('08_CLIENT_PROGRESS'!$J$6:$J$105,MATCH('12_CUSTOMER_DASHBOARD'!$B$4&amp;"|"&amp;$A9,'08_CLIENT_PROGRESS'!$Q$6:$Q$105,0)),"")</x:f>
        <x:v>5</x:v>
      </x:c>
      <x:c r="H9" s="86" t="n">
        <x:f>IFERROR(INDEX('08_CLIENT_PROGRESS'!$K$6:$K$105,MATCH('12_CUSTOMER_DASHBOARD'!$B$4&amp;"|"&amp;$A9,'08_CLIENT_PROGRESS'!$Q$6:$Q$105,0)),"")</x:f>
        <x:v>0.35</x:v>
      </x:c>
    </x:row>
    <x:row r="10">
      <x:c r="A10" t="n">
        <x:v>6</x:v>
      </x:c>
      <x:c r="B10" s="90" t="n">
        <x:f>IFERROR(INDEX('08_CLIENT_PROGRESS'!$E$6:$E$105,MATCH('12_CUSTOMER_DASHBOARD'!$B$4&amp;"|"&amp;$A10,'08_CLIENT_PROGRESS'!$Q$6:$Q$105,0)),"")</x:f>
        <x:v>46037</x:v>
      </x:c>
      <x:c r="C10" t="n">
        <x:f>IFERROR(INDEX('08_CLIENT_PROGRESS'!$F$6:$F$105,MATCH('12_CUSTOMER_DASHBOARD'!$B$4&amp;"|"&amp;$A10,'08_CLIENT_PROGRESS'!$Q$6:$Q$105,0)),"")</x:f>
        <x:v>4</x:v>
      </x:c>
      <x:c r="D10" t="n">
        <x:f>IFERROR(INDEX('08_CLIENT_PROGRESS'!$G$6:$G$105,MATCH('12_CUSTOMER_DASHBOARD'!$B$4&amp;"|"&amp;$A10,'08_CLIENT_PROGRESS'!$Q$6:$Q$105,0)),"")</x:f>
        <x:v>5</x:v>
      </x:c>
      <x:c r="E10" t="n">
        <x:f>IFERROR(INDEX('08_CLIENT_PROGRESS'!$H$6:$H$105,MATCH('12_CUSTOMER_DASHBOARD'!$B$4&amp;"|"&amp;$A10,'08_CLIENT_PROGRESS'!$Q$6:$Q$105,0)),"")</x:f>
        <x:v>4</x:v>
      </x:c>
      <x:c r="F10" t="n">
        <x:f>IFERROR(INDEX('08_CLIENT_PROGRESS'!$I$6:$I$105,MATCH('12_CUSTOMER_DASHBOARD'!$B$4&amp;"|"&amp;$A10,'08_CLIENT_PROGRESS'!$Q$6:$Q$105,0)),"")</x:f>
        <x:v>5</x:v>
      </x:c>
      <x:c r="G10" t="n">
        <x:f>IFERROR(INDEX('08_CLIENT_PROGRESS'!$J$6:$J$105,MATCH('12_CUSTOMER_DASHBOARD'!$B$4&amp;"|"&amp;$A10,'08_CLIENT_PROGRESS'!$Q$6:$Q$105,0)),"")</x:f>
        <x:v>5</x:v>
      </x:c>
      <x:c r="H10" s="86" t="n">
        <x:f>IFERROR(INDEX('08_CLIENT_PROGRESS'!$K$6:$K$105,MATCH('12_CUSTOMER_DASHBOARD'!$B$4&amp;"|"&amp;$A10,'08_CLIENT_PROGRESS'!$Q$6:$Q$105,0)),"")</x:f>
        <x:v>0.35</x:v>
      </x:c>
    </x:row>
    <x:row r="11">
      <x:c r="A11" t="n">
        <x:v>7</x:v>
      </x:c>
      <x:c r="B11" s="90" t="n">
        <x:f>IFERROR(INDEX('08_CLIENT_PROGRESS'!$E$6:$E$105,MATCH('12_CUSTOMER_DASHBOARD'!$B$4&amp;"|"&amp;$A11,'08_CLIENT_PROGRESS'!$Q$6:$Q$105,0)),"")</x:f>
        <x:v>46037</x:v>
      </x:c>
      <x:c r="C11" t="n">
        <x:f>IFERROR(INDEX('08_CLIENT_PROGRESS'!$F$6:$F$105,MATCH('12_CUSTOMER_DASHBOARD'!$B$4&amp;"|"&amp;$A11,'08_CLIENT_PROGRESS'!$Q$6:$Q$105,0)),"")</x:f>
        <x:v>4</x:v>
      </x:c>
      <x:c r="D11" t="n">
        <x:f>IFERROR(INDEX('08_CLIENT_PROGRESS'!$G$6:$G$105,MATCH('12_CUSTOMER_DASHBOARD'!$B$4&amp;"|"&amp;$A11,'08_CLIENT_PROGRESS'!$Q$6:$Q$105,0)),"")</x:f>
        <x:v>5</x:v>
      </x:c>
      <x:c r="E11" t="n">
        <x:f>IFERROR(INDEX('08_CLIENT_PROGRESS'!$H$6:$H$105,MATCH('12_CUSTOMER_DASHBOARD'!$B$4&amp;"|"&amp;$A11,'08_CLIENT_PROGRESS'!$Q$6:$Q$105,0)),"")</x:f>
        <x:v>4</x:v>
      </x:c>
      <x:c r="F11" t="n">
        <x:f>IFERROR(INDEX('08_CLIENT_PROGRESS'!$I$6:$I$105,MATCH('12_CUSTOMER_DASHBOARD'!$B$4&amp;"|"&amp;$A11,'08_CLIENT_PROGRESS'!$Q$6:$Q$105,0)),"")</x:f>
        <x:v>5</x:v>
      </x:c>
      <x:c r="G11" t="n">
        <x:f>IFERROR(INDEX('08_CLIENT_PROGRESS'!$J$6:$J$105,MATCH('12_CUSTOMER_DASHBOARD'!$B$4&amp;"|"&amp;$A11,'08_CLIENT_PROGRESS'!$Q$6:$Q$105,0)),"")</x:f>
        <x:v>5</x:v>
      </x:c>
      <x:c r="H11" s="86" t="n">
        <x:f>IFERROR(INDEX('08_CLIENT_PROGRESS'!$K$6:$K$105,MATCH('12_CUSTOMER_DASHBOARD'!$B$4&amp;"|"&amp;$A11,'08_CLIENT_PROGRESS'!$Q$6:$Q$105,0)),"")</x:f>
        <x:v>0.35</x:v>
      </x:c>
    </x:row>
    <x:row r="12">
      <x:c r="A12" t="n">
        <x:v>8</x:v>
      </x:c>
      <x:c r="B12" s="90" t="n">
        <x:f>IFERROR(INDEX('08_CLIENT_PROGRESS'!$E$6:$E$105,MATCH('12_CUSTOMER_DASHBOARD'!$B$4&amp;"|"&amp;$A12,'08_CLIENT_PROGRESS'!$Q$6:$Q$105,0)),"")</x:f>
        <x:v>46037</x:v>
      </x:c>
      <x:c r="C12" t="n">
        <x:f>IFERROR(INDEX('08_CLIENT_PROGRESS'!$F$6:$F$105,MATCH('12_CUSTOMER_DASHBOARD'!$B$4&amp;"|"&amp;$A12,'08_CLIENT_PROGRESS'!$Q$6:$Q$105,0)),"")</x:f>
        <x:v>4</x:v>
      </x:c>
      <x:c r="D12" t="n">
        <x:f>IFERROR(INDEX('08_CLIENT_PROGRESS'!$G$6:$G$105,MATCH('12_CUSTOMER_DASHBOARD'!$B$4&amp;"|"&amp;$A12,'08_CLIENT_PROGRESS'!$Q$6:$Q$105,0)),"")</x:f>
        <x:v>5</x:v>
      </x:c>
      <x:c r="E12" t="n">
        <x:f>IFERROR(INDEX('08_CLIENT_PROGRESS'!$H$6:$H$105,MATCH('12_CUSTOMER_DASHBOARD'!$B$4&amp;"|"&amp;$A12,'08_CLIENT_PROGRESS'!$Q$6:$Q$105,0)),"")</x:f>
        <x:v>4</x:v>
      </x:c>
      <x:c r="F12" t="n">
        <x:f>IFERROR(INDEX('08_CLIENT_PROGRESS'!$I$6:$I$105,MATCH('12_CUSTOMER_DASHBOARD'!$B$4&amp;"|"&amp;$A12,'08_CLIENT_PROGRESS'!$Q$6:$Q$105,0)),"")</x:f>
        <x:v>5</x:v>
      </x:c>
      <x:c r="G12" t="n">
        <x:f>IFERROR(INDEX('08_CLIENT_PROGRESS'!$J$6:$J$105,MATCH('12_CUSTOMER_DASHBOARD'!$B$4&amp;"|"&amp;$A12,'08_CLIENT_PROGRESS'!$Q$6:$Q$105,0)),"")</x:f>
        <x:v>5</x:v>
      </x:c>
      <x:c r="H12" s="86" t="n">
        <x:f>IFERROR(INDEX('08_CLIENT_PROGRESS'!$K$6:$K$105,MATCH('12_CUSTOMER_DASHBOARD'!$B$4&amp;"|"&amp;$A12,'08_CLIENT_PROGRESS'!$Q$6:$Q$105,0)),"")</x:f>
        <x:v>0.35</x:v>
      </x:c>
    </x:row>
    <x:row r="13">
      <x:c r="A13" t="n">
        <x:v>9</x:v>
      </x:c>
      <x:c r="B13" s="90" t="n">
        <x:f>IFERROR(INDEX('08_CLIENT_PROGRESS'!$E$6:$E$105,MATCH('12_CUSTOMER_DASHBOARD'!$B$4&amp;"|"&amp;$A13,'08_CLIENT_PROGRESS'!$Q$6:$Q$105,0)),"")</x:f>
        <x:v>46037</x:v>
      </x:c>
      <x:c r="C13" t="n">
        <x:f>IFERROR(INDEX('08_CLIENT_PROGRESS'!$F$6:$F$105,MATCH('12_CUSTOMER_DASHBOARD'!$B$4&amp;"|"&amp;$A13,'08_CLIENT_PROGRESS'!$Q$6:$Q$105,0)),"")</x:f>
        <x:v>4</x:v>
      </x:c>
      <x:c r="D13" t="n">
        <x:f>IFERROR(INDEX('08_CLIENT_PROGRESS'!$G$6:$G$105,MATCH('12_CUSTOMER_DASHBOARD'!$B$4&amp;"|"&amp;$A13,'08_CLIENT_PROGRESS'!$Q$6:$Q$105,0)),"")</x:f>
        <x:v>5</x:v>
      </x:c>
      <x:c r="E13" t="n">
        <x:f>IFERROR(INDEX('08_CLIENT_PROGRESS'!$H$6:$H$105,MATCH('12_CUSTOMER_DASHBOARD'!$B$4&amp;"|"&amp;$A13,'08_CLIENT_PROGRESS'!$Q$6:$Q$105,0)),"")</x:f>
        <x:v>4</x:v>
      </x:c>
      <x:c r="F13" t="n">
        <x:f>IFERROR(INDEX('08_CLIENT_PROGRESS'!$I$6:$I$105,MATCH('12_CUSTOMER_DASHBOARD'!$B$4&amp;"|"&amp;$A13,'08_CLIENT_PROGRESS'!$Q$6:$Q$105,0)),"")</x:f>
        <x:v>5</x:v>
      </x:c>
      <x:c r="G13" t="n">
        <x:f>IFERROR(INDEX('08_CLIENT_PROGRESS'!$J$6:$J$105,MATCH('12_CUSTOMER_DASHBOARD'!$B$4&amp;"|"&amp;$A13,'08_CLIENT_PROGRESS'!$Q$6:$Q$105,0)),"")</x:f>
        <x:v>5</x:v>
      </x:c>
      <x:c r="H13" s="86" t="n">
        <x:f>IFERROR(INDEX('08_CLIENT_PROGRESS'!$K$6:$K$105,MATCH('12_CUSTOMER_DASHBOARD'!$B$4&amp;"|"&amp;$A13,'08_CLIENT_PROGRESS'!$Q$6:$Q$105,0)),"")</x:f>
        <x:v>0.35</x:v>
      </x:c>
    </x:row>
    <x:row r="14">
      <x:c r="A14" t="n">
        <x:v>10</x:v>
      </x:c>
      <x:c r="B14" s="90" t="n">
        <x:f>IFERROR(INDEX('08_CLIENT_PROGRESS'!$E$6:$E$105,MATCH('12_CUSTOMER_DASHBOARD'!$B$4&amp;"|"&amp;$A14,'08_CLIENT_PROGRESS'!$Q$6:$Q$105,0)),"")</x:f>
        <x:v>46037</x:v>
      </x:c>
      <x:c r="C14" t="n">
        <x:f>IFERROR(INDEX('08_CLIENT_PROGRESS'!$F$6:$F$105,MATCH('12_CUSTOMER_DASHBOARD'!$B$4&amp;"|"&amp;$A14,'08_CLIENT_PROGRESS'!$Q$6:$Q$105,0)),"")</x:f>
        <x:v>4</x:v>
      </x:c>
      <x:c r="D14" t="n">
        <x:f>IFERROR(INDEX('08_CLIENT_PROGRESS'!$G$6:$G$105,MATCH('12_CUSTOMER_DASHBOARD'!$B$4&amp;"|"&amp;$A14,'08_CLIENT_PROGRESS'!$Q$6:$Q$105,0)),"")</x:f>
        <x:v>5</x:v>
      </x:c>
      <x:c r="E14" t="n">
        <x:f>IFERROR(INDEX('08_CLIENT_PROGRESS'!$H$6:$H$105,MATCH('12_CUSTOMER_DASHBOARD'!$B$4&amp;"|"&amp;$A14,'08_CLIENT_PROGRESS'!$Q$6:$Q$105,0)),"")</x:f>
        <x:v>4</x:v>
      </x:c>
      <x:c r="F14" t="n">
        <x:f>IFERROR(INDEX('08_CLIENT_PROGRESS'!$I$6:$I$105,MATCH('12_CUSTOMER_DASHBOARD'!$B$4&amp;"|"&amp;$A14,'08_CLIENT_PROGRESS'!$Q$6:$Q$105,0)),"")</x:f>
        <x:v>5</x:v>
      </x:c>
      <x:c r="G14" t="n">
        <x:f>IFERROR(INDEX('08_CLIENT_PROGRESS'!$J$6:$J$105,MATCH('12_CUSTOMER_DASHBOARD'!$B$4&amp;"|"&amp;$A14,'08_CLIENT_PROGRESS'!$Q$6:$Q$105,0)),"")</x:f>
        <x:v>5</x:v>
      </x:c>
      <x:c r="H14" s="86" t="n">
        <x:f>IFERROR(INDEX('08_CLIENT_PROGRESS'!$K$6:$K$105,MATCH('12_CUSTOMER_DASHBOARD'!$B$4&amp;"|"&amp;$A14,'08_CLIENT_PROGRESS'!$Q$6:$Q$105,0)),"")</x:f>
        <x:v>0.35</x:v>
      </x:c>
    </x:row>
    <x:row r="15">
      <x:c r="A15" t="n">
        <x:v>11</x:v>
      </x:c>
      <x:c r="B15" s="90" t="n">
        <x:f>IFERROR(INDEX('08_CLIENT_PROGRESS'!$E$6:$E$105,MATCH('12_CUSTOMER_DASHBOARD'!$B$4&amp;"|"&amp;$A15,'08_CLIENT_PROGRESS'!$Q$6:$Q$105,0)),"")</x:f>
        <x:v>46037</x:v>
      </x:c>
      <x:c r="C15" t="n">
        <x:f>IFERROR(INDEX('08_CLIENT_PROGRESS'!$F$6:$F$105,MATCH('12_CUSTOMER_DASHBOARD'!$B$4&amp;"|"&amp;$A15,'08_CLIENT_PROGRESS'!$Q$6:$Q$105,0)),"")</x:f>
        <x:v>4</x:v>
      </x:c>
      <x:c r="D15" t="n">
        <x:f>IFERROR(INDEX('08_CLIENT_PROGRESS'!$G$6:$G$105,MATCH('12_CUSTOMER_DASHBOARD'!$B$4&amp;"|"&amp;$A15,'08_CLIENT_PROGRESS'!$Q$6:$Q$105,0)),"")</x:f>
        <x:v>5</x:v>
      </x:c>
      <x:c r="E15" t="n">
        <x:f>IFERROR(INDEX('08_CLIENT_PROGRESS'!$H$6:$H$105,MATCH('12_CUSTOMER_DASHBOARD'!$B$4&amp;"|"&amp;$A15,'08_CLIENT_PROGRESS'!$Q$6:$Q$105,0)),"")</x:f>
        <x:v>4</x:v>
      </x:c>
      <x:c r="F15" t="n">
        <x:f>IFERROR(INDEX('08_CLIENT_PROGRESS'!$I$6:$I$105,MATCH('12_CUSTOMER_DASHBOARD'!$B$4&amp;"|"&amp;$A15,'08_CLIENT_PROGRESS'!$Q$6:$Q$105,0)),"")</x:f>
        <x:v>5</x:v>
      </x:c>
      <x:c r="G15" t="n">
        <x:f>IFERROR(INDEX('08_CLIENT_PROGRESS'!$J$6:$J$105,MATCH('12_CUSTOMER_DASHBOARD'!$B$4&amp;"|"&amp;$A15,'08_CLIENT_PROGRESS'!$Q$6:$Q$105,0)),"")</x:f>
        <x:v>5</x:v>
      </x:c>
      <x:c r="H15" s="86" t="n">
        <x:f>IFERROR(INDEX('08_CLIENT_PROGRESS'!$K$6:$K$105,MATCH('12_CUSTOMER_DASHBOARD'!$B$4&amp;"|"&amp;$A15,'08_CLIENT_PROGRESS'!$Q$6:$Q$105,0)),"")</x:f>
        <x:v>0.35</x:v>
      </x:c>
    </x:row>
    <x:row r="16">
      <x:c r="A16" t="n">
        <x:v>12</x:v>
      </x:c>
      <x:c r="B16" s="90" t="n">
        <x:f>IFERROR(INDEX('08_CLIENT_PROGRESS'!$E$6:$E$105,MATCH('12_CUSTOMER_DASHBOARD'!$B$4&amp;"|"&amp;$A16,'08_CLIENT_PROGRESS'!$Q$6:$Q$105,0)),"")</x:f>
        <x:v>46037</x:v>
      </x:c>
      <x:c r="C16" t="n">
        <x:f>IFERROR(INDEX('08_CLIENT_PROGRESS'!$F$6:$F$105,MATCH('12_CUSTOMER_DASHBOARD'!$B$4&amp;"|"&amp;$A16,'08_CLIENT_PROGRESS'!$Q$6:$Q$105,0)),"")</x:f>
        <x:v>4</x:v>
      </x:c>
      <x:c r="D16" t="n">
        <x:f>IFERROR(INDEX('08_CLIENT_PROGRESS'!$G$6:$G$105,MATCH('12_CUSTOMER_DASHBOARD'!$B$4&amp;"|"&amp;$A16,'08_CLIENT_PROGRESS'!$Q$6:$Q$105,0)),"")</x:f>
        <x:v>5</x:v>
      </x:c>
      <x:c r="E16" t="n">
        <x:f>IFERROR(INDEX('08_CLIENT_PROGRESS'!$H$6:$H$105,MATCH('12_CUSTOMER_DASHBOARD'!$B$4&amp;"|"&amp;$A16,'08_CLIENT_PROGRESS'!$Q$6:$Q$105,0)),"")</x:f>
        <x:v>4</x:v>
      </x:c>
      <x:c r="F16" t="n">
        <x:f>IFERROR(INDEX('08_CLIENT_PROGRESS'!$I$6:$I$105,MATCH('12_CUSTOMER_DASHBOARD'!$B$4&amp;"|"&amp;$A16,'08_CLIENT_PROGRESS'!$Q$6:$Q$105,0)),"")</x:f>
        <x:v>5</x:v>
      </x:c>
      <x:c r="G16" t="n">
        <x:f>IFERROR(INDEX('08_CLIENT_PROGRESS'!$J$6:$J$105,MATCH('12_CUSTOMER_DASHBOARD'!$B$4&amp;"|"&amp;$A16,'08_CLIENT_PROGRESS'!$Q$6:$Q$105,0)),"")</x:f>
        <x:v>5</x:v>
      </x:c>
      <x:c r="H16" s="86" t="n">
        <x:f>IFERROR(INDEX('08_CLIENT_PROGRESS'!$K$6:$K$105,MATCH('12_CUSTOMER_DASHBOARD'!$B$4&amp;"|"&amp;$A16,'08_CLIENT_PROGRESS'!$Q$6:$Q$105,0)),"")</x:f>
        <x:v>0.35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30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4" t="str">
        <x:v>BACKEND — DATA DICTIONARY &amp; CONTROL NOTES</x:v>
      </x:c>
      <x:c r="B1" s="4"/>
      <x:c r="C1" s="4"/>
      <x:c r="D1" s="4"/>
      <x:c r="E1" s="4"/>
      <x:c r="F1" s="4"/>
      <x:c r="G1" s="4"/>
      <x:c r="H1" s="4"/>
    </x:row>
    <x:row r="2" ht="26" customHeight="1">
      <x:c r="A2" s="10" t="str">
        <x:v>Technical documentation for analysts, auditors and future app migration.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Sheet</x:v>
      </x:c>
      <x:c r="B4" s="18" t="str">
        <x:v>Primary Key</x:v>
      </x:c>
      <x:c r="C4" s="18" t="str">
        <x:v>Purpose</x:v>
      </x:c>
      <x:c r="D4" s="18" t="str">
        <x:v>Main Inputs</x:v>
      </x:c>
      <x:c r="E4" s="18" t="str">
        <x:v>Calculated Outputs</x:v>
      </x:c>
      <x:c r="F4" s="18" t="str">
        <x:v>Owner</x:v>
      </x:c>
      <x:c r="G4" s="18" t="str">
        <x:v>Update Frequency</x:v>
      </x:c>
      <x:c r="H4" s="18" t="str">
        <x:v>Privacy Level</x:v>
      </x:c>
    </x:row>
    <x:row r="5">
      <x:c r="A5" s="53" t="str">
        <x:v>02_MEMBERS</x:v>
      </x:c>
      <x:c r="B5" s="53" t="str">
        <x:v>Member ID</x:v>
      </x:c>
      <x:c r="C5" s="53" t="str">
        <x:v>Master client register</x:v>
      </x:c>
      <x:c r="D5" s="53" t="str">
        <x:v>Identity, plan, dates, sessions</x:v>
      </x:c>
      <x:c r="E5" s="53" t="str">
        <x:v>used/remaining sessions, balance</x:v>
      </x:c>
      <x:c r="F5" s="53" t="str">
        <x:v>Reception</x:v>
      </x:c>
      <x:c r="G5" s="53" t="str">
        <x:v>As events occur</x:v>
      </x:c>
      <x:c r="H5" s="53" t="str">
        <x:v>Restricted</x:v>
      </x:c>
    </x:row>
    <x:row r="6">
      <x:c r="A6" s="53" t="str">
        <x:v>03_CLASS_SCHEDULE</x:v>
      </x:c>
      <x:c r="B6" s="53" t="str">
        <x:v>Class ID</x:v>
      </x:c>
      <x:c r="C6" s="53" t="str">
        <x:v>Class calendar</x:v>
      </x:c>
      <x:c r="D6" s="53" t="str">
        <x:v>date, time, type, instructor</x:v>
      </x:c>
      <x:c r="E6" s="53" t="str">
        <x:v>linked instructor name</x:v>
      </x:c>
      <x:c r="F6" s="53" t="str">
        <x:v>Manager</x:v>
      </x:c>
      <x:c r="G6" s="53" t="str">
        <x:v>Weekly/daily</x:v>
      </x:c>
      <x:c r="H6" s="53" t="str">
        <x:v>Internal</x:v>
      </x:c>
    </x:row>
    <x:row r="7">
      <x:c r="A7" s="53" t="str">
        <x:v>04_ATTENDANCE</x:v>
      </x:c>
      <x:c r="B7" s="53" t="str">
        <x:v>Attendance ID</x:v>
      </x:c>
      <x:c r="C7" s="53" t="str">
        <x:v>Bookings and class attendance</x:v>
      </x:c>
      <x:c r="D7" s="53" t="str">
        <x:v>class, member, status</x:v>
      </x:c>
      <x:c r="E7" s="53" t="str">
        <x:v>session count</x:v>
      </x:c>
      <x:c r="F7" s="53" t="str">
        <x:v>Reception</x:v>
      </x:c>
      <x:c r="G7" s="53" t="str">
        <x:v>Daily</x:v>
      </x:c>
      <x:c r="H7" s="53" t="str">
        <x:v>Restricted</x:v>
      </x:c>
    </x:row>
    <x:row r="8">
      <x:c r="A8" s="53" t="str">
        <x:v>05_SALES_PAYMENTS</x:v>
      </x:c>
      <x:c r="B8" s="53" t="str">
        <x:v>Transaction ID</x:v>
      </x:c>
      <x:c r="C8" s="53" t="str">
        <x:v>Revenue and collections</x:v>
      </x:c>
      <x:c r="D8" s="53" t="str">
        <x:v>invoice, discount, received</x:v>
      </x:c>
      <x:c r="E8" s="53" t="str">
        <x:v>net invoice, balance, status</x:v>
      </x:c>
      <x:c r="F8" s="53" t="str">
        <x:v>Finance</x:v>
      </x:c>
      <x:c r="G8" s="53" t="str">
        <x:v>Daily</x:v>
      </x:c>
      <x:c r="H8" s="53" t="str">
        <x:v>Restricted</x:v>
      </x:c>
    </x:row>
    <x:row r="9">
      <x:c r="A9" s="53" t="str">
        <x:v>06_EXPENSES</x:v>
      </x:c>
      <x:c r="B9" s="53" t="str">
        <x:v>Expense ID</x:v>
      </x:c>
      <x:c r="C9" s="53" t="str">
        <x:v>Costs and cash-outs</x:v>
      </x:c>
      <x:c r="D9" s="53" t="str">
        <x:v>category, vendor, amounts</x:v>
      </x:c>
      <x:c r="E9" s="53" t="str">
        <x:v>total, balance, status</x:v>
      </x:c>
      <x:c r="F9" s="53" t="str">
        <x:v>Finance</x:v>
      </x:c>
      <x:c r="G9" s="53" t="str">
        <x:v>Daily</x:v>
      </x:c>
      <x:c r="H9" s="53" t="str">
        <x:v>Restricted</x:v>
      </x:c>
    </x:row>
    <x:row r="10">
      <x:c r="A10" s="53" t="str">
        <x:v>07_LEADS_TRIALS</x:v>
      </x:c>
      <x:c r="B10" s="53" t="str">
        <x:v>Lead ID</x:v>
      </x:c>
      <x:c r="C10" s="53" t="str">
        <x:v>Sales pipeline</x:v>
      </x:c>
      <x:c r="D10" s="53" t="str">
        <x:v>source, status, follow-up</x:v>
      </x:c>
      <x:c r="E10" s="53" t="str">
        <x:v>conversion metrics</x:v>
      </x:c>
      <x:c r="F10" s="53" t="str">
        <x:v>Customer Success</x:v>
      </x:c>
      <x:c r="G10" s="53" t="str">
        <x:v>Daily</x:v>
      </x:c>
      <x:c r="H10" s="53" t="str">
        <x:v>Internal</x:v>
      </x:c>
    </x:row>
    <x:row r="11">
      <x:c r="A11" s="53" t="str">
        <x:v>08_CLIENT_PROGRESS</x:v>
      </x:c>
      <x:c r="B11" s="53" t="str">
        <x:v>Assessment ID</x:v>
      </x:c>
      <x:c r="C11" s="53" t="str">
        <x:v>Approved exercise progress</x:v>
      </x:c>
      <x:c r="D11" s="53" t="str">
        <x:v>scores and summary</x:v>
      </x:c>
      <x:c r="E11" s="53" t="str">
        <x:v>client dashboard</x:v>
      </x:c>
      <x:c r="F11" s="53" t="str">
        <x:v>Instructor</x:v>
      </x:c>
      <x:c r="G11" s="53" t="str">
        <x:v>Monthly</x:v>
      </x:c>
      <x:c r="H11" s="53" t="str">
        <x:v>Highly Restricted</x:v>
      </x:c>
    </x:row>
    <x:row r="12">
      <x:c r="A12" s="53" t="str">
        <x:v>10_ASSETS_MAINT</x:v>
      </x:c>
      <x:c r="B12" s="53" t="str">
        <x:v>Asset ID</x:v>
      </x:c>
      <x:c r="C12" s="53" t="str">
        <x:v>Equipment controls</x:v>
      </x:c>
      <x:c r="D12" s="53" t="str">
        <x:v>service dates, condition</x:v>
      </x:c>
      <x:c r="E12" s="53" t="str">
        <x:v>next service due</x:v>
      </x:c>
      <x:c r="F12" s="53" t="str">
        <x:v>Manager</x:v>
      </x:c>
      <x:c r="G12" s="53" t="str">
        <x:v>Weekly/monthly</x:v>
      </x:c>
      <x:c r="H12" s="53" t="str">
        <x:v>Internal</x:v>
      </x:c>
    </x:row>
    <x:row r="13">
      <x:c r="A13" s="53" t="str">
        <x:v>11_INVENTORY</x:v>
      </x:c>
      <x:c r="B13" s="53" t="str">
        <x:v>Item ID</x:v>
      </x:c>
      <x:c r="C13" s="53" t="str">
        <x:v>Consumable controls</x:v>
      </x:c>
      <x:c r="D13" s="53" t="str">
        <x:v>receipts and usage</x:v>
      </x:c>
      <x:c r="E13" s="53" t="str">
        <x:v>closing stock, reorder</x:v>
      </x:c>
      <x:c r="F13" s="53" t="str">
        <x:v>Reception</x:v>
      </x:c>
      <x:c r="G13" s="53" t="str">
        <x:v>Weekly</x:v>
      </x:c>
      <x:c r="H13" s="53" t="str">
        <x:v>Internal</x:v>
      </x:c>
    </x:row>
  </x:sheetData>
  <x:mergeCells>
    <x:mergeCell ref="A1:H1"/>
    <x:mergeCell ref="A2:H2"/>
  </x:mergeCells>
  <x:pageMargins left="0.7" right="0.7" top="0.75" bottom="0.75" header="0.3" footer="0.3"/>
</x:worksheet>
</file>